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TOTAL 6 ZS" sheetId="1" state="visible" r:id="rId1"/>
    <sheet name="SYNTHESE 1" sheetId="2" state="visible" r:id="rId2"/>
    <sheet name="COUVERTURE EN REFRIGERAREUR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Times New Roman"/>
      <b val="1"/>
      <color rgb="FFF3F3F3"/>
      <sz val="17"/>
    </font>
    <font>
      <name val="&quot;Arial Rounded&quot;"/>
      <color rgb="FFFFFFFF"/>
      <sz val="14"/>
    </font>
    <font>
      <name val="&quot;Arial Rounded&quot;"/>
      <color rgb="FFFFFFFF"/>
      <sz val="12"/>
    </font>
    <font>
      <name val="&quot;Arial Rounded&quot;"/>
      <color theme="1"/>
      <sz val="12"/>
    </font>
    <font>
      <name val="Times New Roman"/>
      <b val="1"/>
      <color theme="1"/>
      <sz val="12"/>
    </font>
    <font>
      <name val="Arial"/>
      <color theme="1"/>
      <sz val="10"/>
    </font>
    <font>
      <name val="Arial"/>
      <family val="2"/>
      <b val="1"/>
      <color theme="1"/>
      <sz val="12"/>
    </font>
    <font>
      <name val="Arial"/>
      <b val="1"/>
      <color theme="1"/>
      <sz val="12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Arial"/>
      <family val="2"/>
      <color theme="1"/>
      <sz val="12"/>
    </font>
    <font>
      <name val="Times New Roman"/>
      <family val="1"/>
      <b val="1"/>
      <color rgb="FFFFFFFF"/>
      <sz val="13"/>
    </font>
    <font>
      <name val="Arial Narrow"/>
      <family val="2"/>
      <color theme="1"/>
      <sz val="11"/>
    </font>
    <font>
      <name val="Arial Narrow"/>
      <family val="2"/>
      <b val="1"/>
      <color theme="1"/>
      <sz val="11"/>
    </font>
    <font>
      <name val="Calibri"/>
      <family val="2"/>
      <color theme="1"/>
      <sz val="14"/>
      <scheme val="minor"/>
    </font>
    <font>
      <name val="Times New Roman"/>
      <family val="1"/>
      <sz val="11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4"/>
    </font>
    <font>
      <name val="Calibri"/>
      <family val="2"/>
      <color rgb="FF000000"/>
      <sz val="11"/>
      <scheme val="minor"/>
    </font>
    <font>
      <name val="Albertus Extra Bold"/>
      <family val="2"/>
      <color theme="1"/>
      <sz val="12"/>
    </font>
    <font>
      <name val="&quot;Arial Rounded&quot;"/>
      <sz val="12"/>
    </font>
    <font>
      <name val="&quot;Arial Rounded&quot;"/>
      <sz val="14"/>
    </font>
  </fonts>
  <fills count="29">
    <fill>
      <patternFill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73763"/>
        <bgColor rgb="FF073763"/>
      </patternFill>
    </fill>
    <fill>
      <patternFill patternType="solid">
        <fgColor rgb="FF274E13"/>
        <bgColor rgb="FF274E1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EFEFEF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D9EAD3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92D050"/>
        <bgColor rgb="FFEFEFEF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7999816888943144"/>
        <bgColor rgb="FFD9EAD3"/>
      </patternFill>
    </fill>
    <fill>
      <patternFill patternType="solid">
        <fgColor theme="7" tint="0.3999755851924192"/>
        <bgColor rgb="FF93C47D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3" tint="0.5999938962981048"/>
        <bgColor rgb="FF073763"/>
      </patternFill>
    </fill>
    <fill>
      <patternFill patternType="solid">
        <fgColor theme="5" tint="0.5999938962981048"/>
        <bgColor rgb="FF274E13"/>
      </patternFill>
    </fill>
    <fill>
      <patternFill patternType="solid">
        <fgColor rgb="FFFFFF00"/>
        <bgColor rgb="FF274E13"/>
      </patternFill>
    </fill>
  </fills>
  <borders count="32">
    <border>
      <left/>
      <right/>
      <top/>
      <bottom/>
      <diagonal/>
    </border>
    <border>
      <left/>
      <right style="thin">
        <color rgb="FF000000"/>
      </right>
      <top/>
      <bottom style="medium">
        <color rgb="FF980000"/>
      </bottom>
      <diagonal/>
    </border>
    <border>
      <left/>
      <right style="medium">
        <color rgb="FF000000"/>
      </right>
      <top/>
      <bottom style="medium">
        <color rgb="FF980000"/>
      </bottom>
      <diagonal/>
    </border>
    <border>
      <left/>
      <right/>
      <top/>
      <bottom style="medium">
        <color rgb="FF98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6" borderId="5" pivotButton="0" quotePrefix="0" xfId="0"/>
    <xf numFmtId="0" fontId="7" fillId="0" borderId="4" applyAlignment="1" pivotButton="0" quotePrefix="0" xfId="0">
      <alignment horizontal="center"/>
    </xf>
    <xf numFmtId="0" fontId="7" fillId="5" borderId="4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0" fontId="7" fillId="0" borderId="4" pivotButton="0" quotePrefix="0" xfId="0"/>
    <xf numFmtId="0" fontId="10" fillId="0" borderId="7" pivotButton="0" quotePrefix="0" xfId="0"/>
    <xf numFmtId="0" fontId="5" fillId="10" borderId="8" pivotButton="0" quotePrefix="0" xfId="0"/>
    <xf numFmtId="0" fontId="6" fillId="11" borderId="7" pivotButton="0" quotePrefix="0" xfId="0"/>
    <xf numFmtId="0" fontId="7" fillId="11" borderId="4" applyAlignment="1" pivotButton="0" quotePrefix="0" xfId="0">
      <alignment horizontal="center"/>
    </xf>
    <xf numFmtId="0" fontId="7" fillId="12" borderId="4" applyAlignment="1" pivotButton="0" quotePrefix="0" xfId="0">
      <alignment horizontal="center"/>
    </xf>
    <xf numFmtId="1" fontId="8" fillId="13" borderId="4" applyAlignment="1" pivotButton="0" quotePrefix="0" xfId="0">
      <alignment horizontal="center"/>
    </xf>
    <xf numFmtId="0" fontId="9" fillId="11" borderId="4" applyAlignment="1" pivotButton="0" quotePrefix="0" xfId="0">
      <alignment horizontal="center"/>
    </xf>
    <xf numFmtId="0" fontId="0" fillId="11" borderId="0" pivotButton="0" quotePrefix="0" xfId="0"/>
    <xf numFmtId="0" fontId="11" fillId="6" borderId="6" pivotButton="0" quotePrefix="0" xfId="0"/>
    <xf numFmtId="0" fontId="12" fillId="0" borderId="7" pivotButton="0" quotePrefix="0" xfId="0"/>
    <xf numFmtId="1" fontId="10" fillId="0" borderId="4" applyAlignment="1" pivotButton="0" quotePrefix="0" xfId="0">
      <alignment horizontal="center"/>
    </xf>
    <xf numFmtId="1" fontId="12" fillId="0" borderId="4" applyAlignment="1" pivotButton="0" quotePrefix="0" xfId="0">
      <alignment horizontal="center"/>
    </xf>
    <xf numFmtId="1" fontId="13" fillId="5" borderId="4" applyAlignment="1" pivotButton="0" quotePrefix="0" xfId="0">
      <alignment horizontal="center"/>
    </xf>
    <xf numFmtId="1" fontId="13" fillId="7" borderId="4" applyAlignment="1" pivotButton="0" quotePrefix="0" xfId="0">
      <alignment horizontal="center"/>
    </xf>
    <xf numFmtId="0" fontId="11" fillId="8" borderId="8" pivotButton="0" quotePrefix="0" xfId="0"/>
    <xf numFmtId="0" fontId="12" fillId="15" borderId="7" pivotButton="0" quotePrefix="0" xfId="0"/>
    <xf numFmtId="1" fontId="10" fillId="15" borderId="4" applyAlignment="1" pivotButton="0" quotePrefix="0" xfId="0">
      <alignment horizontal="center"/>
    </xf>
    <xf numFmtId="0" fontId="11" fillId="6" borderId="8" pivotButton="0" quotePrefix="0" xfId="0"/>
    <xf numFmtId="0" fontId="10" fillId="15" borderId="7" pivotButton="0" quotePrefix="0" xfId="0"/>
    <xf numFmtId="0" fontId="10" fillId="0" borderId="4" applyAlignment="1" pivotButton="0" quotePrefix="0" xfId="0">
      <alignment horizontal="center"/>
    </xf>
    <xf numFmtId="0" fontId="13" fillId="5" borderId="4" applyAlignment="1" pivotButton="0" quotePrefix="0" xfId="0">
      <alignment horizontal="center"/>
    </xf>
    <xf numFmtId="0" fontId="11" fillId="8" borderId="11" pivotButton="0" quotePrefix="0" xfId="0"/>
    <xf numFmtId="0" fontId="10" fillId="0" borderId="0" pivotButton="0" quotePrefix="0" xfId="0"/>
    <xf numFmtId="0" fontId="14" fillId="9" borderId="9" pivotButton="0" quotePrefix="0" xfId="0"/>
    <xf numFmtId="0" fontId="14" fillId="9" borderId="10" applyAlignment="1" pivotButton="0" quotePrefix="0" xfId="0">
      <alignment horizontal="right"/>
    </xf>
    <xf numFmtId="1" fontId="14" fillId="9" borderId="4" applyAlignment="1" pivotButton="0" quotePrefix="0" xfId="0">
      <alignment horizontal="center"/>
    </xf>
    <xf numFmtId="1" fontId="7" fillId="7" borderId="4" applyAlignment="1" pivotButton="0" quotePrefix="0" xfId="0">
      <alignment horizontal="center"/>
    </xf>
    <xf numFmtId="0" fontId="11" fillId="6" borderId="11" pivotButton="0" quotePrefix="0" xfId="0"/>
    <xf numFmtId="0" fontId="14" fillId="9" borderId="4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0" fillId="15" borderId="4" applyAlignment="1" pivotButton="0" quotePrefix="0" xfId="0">
      <alignment horizontal="center"/>
    </xf>
    <xf numFmtId="0" fontId="12" fillId="0" borderId="0" pivotButton="0" quotePrefix="0" xfId="0"/>
    <xf numFmtId="0" fontId="10" fillId="17" borderId="7" pivotButton="0" quotePrefix="0" xfId="0"/>
    <xf numFmtId="0" fontId="11" fillId="14" borderId="6" pivotButton="0" quotePrefix="0" xfId="0"/>
    <xf numFmtId="1" fontId="10" fillId="0" borderId="4" pivotButton="0" quotePrefix="0" xfId="0"/>
    <xf numFmtId="1" fontId="7" fillId="5" borderId="4" applyAlignment="1" pivotButton="0" quotePrefix="0" xfId="0">
      <alignment horizontal="right"/>
    </xf>
    <xf numFmtId="1" fontId="7" fillId="7" borderId="4" applyAlignment="1" pivotButton="0" quotePrefix="0" xfId="0">
      <alignment horizontal="right"/>
    </xf>
    <xf numFmtId="0" fontId="0" fillId="0" borderId="4" pivotButton="0" quotePrefix="0" xfId="0"/>
    <xf numFmtId="1" fontId="10" fillId="15" borderId="4" pivotButton="0" quotePrefix="0" xfId="0"/>
    <xf numFmtId="1" fontId="7" fillId="16" borderId="4" applyAlignment="1" pivotButton="0" quotePrefix="0" xfId="0">
      <alignment horizontal="right"/>
    </xf>
    <xf numFmtId="0" fontId="10" fillId="0" borderId="4" pivotButton="0" quotePrefix="0" xfId="0"/>
    <xf numFmtId="0" fontId="7" fillId="5" borderId="4" applyAlignment="1" pivotButton="0" quotePrefix="0" xfId="0">
      <alignment horizontal="right"/>
    </xf>
    <xf numFmtId="0" fontId="11" fillId="14" borderId="12" pivotButton="0" quotePrefix="0" xfId="0"/>
    <xf numFmtId="1" fontId="10" fillId="11" borderId="4" applyAlignment="1" pivotButton="0" quotePrefix="0" xfId="0">
      <alignment horizontal="center"/>
    </xf>
    <xf numFmtId="0" fontId="10" fillId="11" borderId="4" applyAlignment="1" pivotButton="0" quotePrefix="0" xfId="0">
      <alignment horizontal="center"/>
    </xf>
    <xf numFmtId="0" fontId="5" fillId="6" borderId="12" pivotButton="0" quotePrefix="0" xfId="0"/>
    <xf numFmtId="0" fontId="10" fillId="19" borderId="0" pivotButton="0" quotePrefix="0" xfId="0"/>
    <xf numFmtId="1" fontId="10" fillId="19" borderId="16" applyAlignment="1" pivotButton="0" quotePrefix="0" xfId="0">
      <alignment horizontal="center"/>
    </xf>
    <xf numFmtId="0" fontId="11" fillId="6" borderId="4" pivotButton="0" quotePrefix="0" xfId="0"/>
    <xf numFmtId="0" fontId="11" fillId="19" borderId="4" applyAlignment="1" pivotButton="0" quotePrefix="0" xfId="0">
      <alignment horizontal="left"/>
    </xf>
    <xf numFmtId="0" fontId="11" fillId="19" borderId="4" applyAlignment="1" pivotButton="0" quotePrefix="0" xfId="0">
      <alignment horizontal="right"/>
    </xf>
    <xf numFmtId="0" fontId="12" fillId="11" borderId="4" applyAlignment="1" pivotButton="0" quotePrefix="0" xfId="0">
      <alignment horizontal="left"/>
    </xf>
    <xf numFmtId="0" fontId="15" fillId="11" borderId="4" applyAlignment="1" pivotButton="0" quotePrefix="0" xfId="0">
      <alignment vertical="center" wrapText="1"/>
    </xf>
    <xf numFmtId="0" fontId="12" fillId="11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1" fontId="7" fillId="13" borderId="4" applyAlignment="1" pivotButton="0" quotePrefix="0" xfId="0">
      <alignment horizontal="right"/>
    </xf>
    <xf numFmtId="0" fontId="0" fillId="11" borderId="4" pivotButton="0" quotePrefix="0" xfId="0"/>
    <xf numFmtId="0" fontId="16" fillId="11" borderId="4" applyAlignment="1" pivotButton="0" quotePrefix="0" xfId="0">
      <alignment vertical="center" wrapText="1"/>
    </xf>
    <xf numFmtId="1" fontId="13" fillId="11" borderId="4" applyAlignment="1" pivotButton="0" quotePrefix="0" xfId="0">
      <alignment horizontal="center"/>
    </xf>
    <xf numFmtId="1" fontId="12" fillId="11" borderId="4" applyAlignment="1" pivotButton="0" quotePrefix="0" xfId="0">
      <alignment horizontal="center"/>
    </xf>
    <xf numFmtId="1" fontId="13" fillId="12" borderId="4" applyAlignment="1" pivotButton="0" quotePrefix="0" xfId="0">
      <alignment horizontal="center"/>
    </xf>
    <xf numFmtId="1" fontId="13" fillId="13" borderId="4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1" fillId="6" borderId="4" pivotButton="0" quotePrefix="0" xfId="0"/>
    <xf numFmtId="0" fontId="6" fillId="19" borderId="7" pivotButton="0" quotePrefix="0" xfId="0"/>
    <xf numFmtId="1" fontId="7" fillId="19" borderId="4" applyAlignment="1" pivotButton="0" quotePrefix="0" xfId="0">
      <alignment horizontal="center"/>
    </xf>
    <xf numFmtId="0" fontId="18" fillId="0" borderId="4" applyAlignment="1" applyProtection="1" pivotButton="0" quotePrefix="0" xfId="0">
      <alignment horizontal="left"/>
      <protection locked="0" hidden="0"/>
    </xf>
    <xf numFmtId="0" fontId="14" fillId="9" borderId="10" applyAlignment="1" pivotButton="0" quotePrefix="0" xfId="0">
      <alignment horizontal="left"/>
    </xf>
    <xf numFmtId="0" fontId="13" fillId="0" borderId="4" applyAlignment="1" pivotButton="0" quotePrefix="0" xfId="0">
      <alignment horizontal="center"/>
    </xf>
    <xf numFmtId="0" fontId="19" fillId="20" borderId="4" applyAlignment="1" pivotButton="0" quotePrefix="0" xfId="0">
      <alignment horizontal="center" vertical="center" wrapText="1"/>
    </xf>
    <xf numFmtId="1" fontId="13" fillId="21" borderId="4" applyAlignment="1" pivotButton="0" quotePrefix="0" xfId="0">
      <alignment horizontal="center"/>
    </xf>
    <xf numFmtId="0" fontId="14" fillId="9" borderId="21" pivotButton="0" quotePrefix="0" xfId="0"/>
    <xf numFmtId="0" fontId="14" fillId="9" borderId="22" applyAlignment="1" pivotButton="0" quotePrefix="0" xfId="0">
      <alignment horizontal="right"/>
    </xf>
    <xf numFmtId="1" fontId="7" fillId="23" borderId="17" applyAlignment="1" pivotButton="0" quotePrefix="0" xfId="0">
      <alignment horizontal="center"/>
    </xf>
    <xf numFmtId="0" fontId="20" fillId="23" borderId="7" pivotButton="0" quotePrefix="0" xfId="0"/>
    <xf numFmtId="0" fontId="0" fillId="0" borderId="4" applyAlignment="1" pivotButton="0" quotePrefix="0" xfId="0">
      <alignment horizontal="center"/>
    </xf>
    <xf numFmtId="0" fontId="11" fillId="14" borderId="4" pivotButton="0" quotePrefix="0" xfId="0"/>
    <xf numFmtId="0" fontId="21" fillId="11" borderId="4" applyAlignment="1" pivotButton="0" quotePrefix="0" xfId="0">
      <alignment vertical="center" wrapText="1"/>
    </xf>
    <xf numFmtId="0" fontId="0" fillId="0" borderId="4" applyAlignment="1" pivotButton="0" quotePrefix="0" xfId="0">
      <alignment horizontal="center"/>
    </xf>
    <xf numFmtId="0" fontId="0" fillId="11" borderId="4" applyAlignment="1" pivotButton="0" quotePrefix="0" xfId="0">
      <alignment horizontal="center" vertical="center" wrapText="1"/>
    </xf>
    <xf numFmtId="1" fontId="14" fillId="9" borderId="16" applyAlignment="1" pivotButton="0" quotePrefix="0" xfId="0">
      <alignment horizontal="center"/>
    </xf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6" fillId="11" borderId="0" pivotButton="0" quotePrefix="0" xfId="0"/>
    <xf numFmtId="1" fontId="10" fillId="0" borderId="23" applyAlignment="1" pivotButton="0" quotePrefix="0" xfId="0">
      <alignment horizontal="center"/>
    </xf>
    <xf numFmtId="1" fontId="10" fillId="11" borderId="23" applyAlignment="1" pivotButton="0" quotePrefix="0" xfId="0">
      <alignment horizontal="center"/>
    </xf>
    <xf numFmtId="0" fontId="12" fillId="0" borderId="4" pivotButton="0" quotePrefix="0" xfId="0"/>
    <xf numFmtId="0" fontId="20" fillId="23" borderId="4" pivotButton="0" quotePrefix="0" xfId="0"/>
    <xf numFmtId="0" fontId="12" fillId="0" borderId="7" applyAlignment="1" pivotButton="0" quotePrefix="0" xfId="0">
      <alignment horizontal="center"/>
    </xf>
    <xf numFmtId="0" fontId="12" fillId="15" borderId="7" applyAlignment="1" pivotButton="0" quotePrefix="0" xfId="0">
      <alignment horizontal="center"/>
    </xf>
    <xf numFmtId="0" fontId="12" fillId="11" borderId="4" applyAlignment="1" pivotButton="0" quotePrefix="0" xfId="0">
      <alignment horizontal="center"/>
    </xf>
    <xf numFmtId="0" fontId="20" fillId="24" borderId="7" applyAlignment="1" pivotButton="0" quotePrefix="0" xfId="0">
      <alignment horizontal="center"/>
    </xf>
    <xf numFmtId="0" fontId="20" fillId="24" borderId="4" applyAlignment="1" pivotButton="0" quotePrefix="0" xfId="0">
      <alignment horizontal="center"/>
    </xf>
    <xf numFmtId="0" fontId="12" fillId="24" borderId="4" applyAlignment="1" pivotButton="0" quotePrefix="0" xfId="0">
      <alignment horizontal="center"/>
    </xf>
    <xf numFmtId="1" fontId="12" fillId="24" borderId="4" applyAlignment="1" pivotButton="0" quotePrefix="0" xfId="0">
      <alignment horizontal="center"/>
    </xf>
    <xf numFmtId="0" fontId="11" fillId="6" borderId="12" pivotButton="0" quotePrefix="0" xfId="0"/>
    <xf numFmtId="0" fontId="11" fillId="8" borderId="13" pivotButton="0" quotePrefix="0" xfId="0"/>
    <xf numFmtId="0" fontId="11" fillId="6" borderId="13" pivotButton="0" quotePrefix="0" xfId="0"/>
    <xf numFmtId="0" fontId="12" fillId="15" borderId="4" pivotButton="0" quotePrefix="0" xfId="0"/>
    <xf numFmtId="1" fontId="12" fillId="25" borderId="4" applyAlignment="1" pivotButton="0" quotePrefix="0" xfId="0">
      <alignment horizontal="center"/>
    </xf>
    <xf numFmtId="1" fontId="10" fillId="24" borderId="23" applyAlignment="1" pivotButton="0" quotePrefix="0" xfId="0">
      <alignment horizontal="center"/>
    </xf>
    <xf numFmtId="1" fontId="10" fillId="17" borderId="4" applyAlignment="1" pivotButton="0" quotePrefix="0" xfId="0">
      <alignment horizontal="center"/>
    </xf>
    <xf numFmtId="0" fontId="23" fillId="28" borderId="4" applyAlignment="1" pivotButton="0" quotePrefix="0" xfId="0">
      <alignment horizontal="center" vertical="center" wrapText="1"/>
    </xf>
    <xf numFmtId="0" fontId="23" fillId="27" borderId="4" applyAlignment="1" pivotButton="0" quotePrefix="0" xfId="0">
      <alignment horizontal="center" vertical="center" wrapText="1"/>
    </xf>
    <xf numFmtId="0" fontId="24" fillId="26" borderId="0" applyAlignment="1" pivotButton="0" quotePrefix="0" xfId="0">
      <alignment horizontal="center" vertical="center" wrapText="1"/>
    </xf>
    <xf numFmtId="0" fontId="11" fillId="22" borderId="12" applyAlignment="1" pivotButton="0" quotePrefix="0" xfId="0">
      <alignment horizontal="center"/>
    </xf>
    <xf numFmtId="0" fontId="11" fillId="22" borderId="2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1" fillId="18" borderId="13" applyAlignment="1" pivotButton="0" quotePrefix="0" xfId="0">
      <alignment horizontal="center"/>
    </xf>
    <xf numFmtId="0" fontId="5" fillId="18" borderId="15" applyAlignment="1" pivotButton="0" quotePrefix="0" xfId="0">
      <alignment horizontal="center"/>
    </xf>
    <xf numFmtId="0" fontId="11" fillId="18" borderId="18" applyAlignment="1" pivotButton="0" quotePrefix="0" xfId="0">
      <alignment horizontal="center"/>
    </xf>
    <xf numFmtId="0" fontId="11" fillId="18" borderId="19" applyAlignment="1" pivotButton="0" quotePrefix="0" xfId="0">
      <alignment horizontal="center"/>
    </xf>
    <xf numFmtId="0" fontId="11" fillId="18" borderId="12" applyAlignment="1" pivotButton="0" quotePrefix="0" xfId="0">
      <alignment horizontal="center"/>
    </xf>
    <xf numFmtId="0" fontId="5" fillId="18" borderId="20" applyAlignment="1" pivotButton="0" quotePrefix="0" xfId="0">
      <alignment horizontal="center"/>
    </xf>
    <xf numFmtId="0" fontId="5" fillId="18" borderId="14" applyAlignment="1" pivotButton="0" quotePrefix="0" xfId="0">
      <alignment horizontal="center"/>
    </xf>
    <xf numFmtId="0" fontId="11" fillId="22" borderId="7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17" pivotButton="0" quotePrefix="0" xfId="0"/>
    <xf numFmtId="0" fontId="11" fillId="18" borderId="8" applyAlignment="1" pivotButton="0" quotePrefix="0" xfId="0">
      <alignment horizontal="center" vertical="center"/>
    </xf>
    <xf numFmtId="0" fontId="0" fillId="0" borderId="14" pivotButton="0" quotePrefix="0" xfId="0"/>
    <xf numFmtId="1" fontId="10" fillId="19" borderId="16" applyAlignment="1" pivotButton="0" quotePrefix="0" xfId="0">
      <alignment horizontal="center" vertical="center"/>
    </xf>
    <xf numFmtId="0" fontId="12" fillId="0" borderId="7" applyProtection="1" pivotButton="0" quotePrefix="0" xfId="0">
      <protection locked="0" hidden="0"/>
    </xf>
    <xf numFmtId="1" fontId="10" fillId="19" borderId="16" applyAlignment="1" applyProtection="1" pivotButton="0" quotePrefix="0" xfId="0">
      <alignment horizontal="center" vertical="center"/>
      <protection locked="0" hidden="0"/>
    </xf>
    <xf numFmtId="0" fontId="11" fillId="22" borderId="6" applyAlignment="1" pivotButton="0" quotePrefix="0" xfId="0">
      <alignment horizontal="center" vertical="center"/>
    </xf>
    <xf numFmtId="0" fontId="0" fillId="0" borderId="20" pivotButton="0" quotePrefix="0" xfId="0"/>
    <xf numFmtId="1" fontId="7" fillId="23" borderId="17" applyAlignment="1" applyProtection="1" pivotButton="0" quotePrefix="0" xfId="0">
      <alignment horizontal="center" vertical="center"/>
      <protection locked="0" hidden="0"/>
    </xf>
    <xf numFmtId="1" fontId="7" fillId="23" borderId="17" applyAlignment="1" pivotButton="0" quotePrefix="0" xfId="0">
      <alignment horizontal="center" vertical="center"/>
    </xf>
    <xf numFmtId="0" fontId="11" fillId="18" borderId="6" applyAlignment="1" pivotButton="0" quotePrefix="0" xfId="0">
      <alignment horizontal="center"/>
    </xf>
    <xf numFmtId="0" fontId="11" fillId="18" borderId="8" applyAlignment="1" pivotButton="0" quotePrefix="0" xfId="0">
      <alignment horizontal="center"/>
    </xf>
    <xf numFmtId="0" fontId="11" fillId="22" borderId="6" applyAlignment="1" pivotButton="0" quotePrefix="0" xfId="0">
      <alignment horizontal="center"/>
    </xf>
    <xf numFmtId="0" fontId="12" fillId="0" borderId="4" applyAlignment="1" pivotButton="0" quotePrefix="0" xfId="0">
      <alignment horizontal="center" vertical="center"/>
    </xf>
    <xf numFmtId="0" fontId="20" fillId="23" borderId="4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20" fillId="24" borderId="7" applyAlignment="1" pivotButton="0" quotePrefix="0" xfId="0">
      <alignment horizontal="center" vertical="center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0</colOff>
      <row>0</row>
      <rowOff>1</rowOff>
    </from>
    <to>
      <col>3</col>
      <colOff>971550</colOff>
      <row>7</row>
      <rowOff>0</rowOff>
    </to>
    <pic>
      <nvPicPr>
        <cNvPr id="2" name="Image 25" descr="wps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1"/>
          <a:ext cx="6172200" cy="1466850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0</colOff>
      <row>0</row>
      <rowOff>1</rowOff>
    </from>
    <to>
      <col>4</col>
      <colOff>971550</colOff>
      <row>7</row>
      <rowOff>0</rowOff>
    </to>
    <pic>
      <nvPicPr>
        <cNvPr id="2" name="Image 25" descr="wps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1"/>
          <a:ext cx="6172200" cy="1333499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247650</colOff>
      <row>0</row>
      <rowOff>0</rowOff>
    </from>
    <to>
      <col>4</col>
      <colOff>133350</colOff>
      <row>6</row>
      <rowOff>190499</rowOff>
    </to>
    <pic>
      <nvPicPr>
        <cNvPr id="2" name="Image 25" descr="wps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47650" y="0"/>
          <a:ext cx="6781800" cy="1333499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S264"/>
  <sheetViews>
    <sheetView tabSelected="1" topLeftCell="A10" workbookViewId="0">
      <selection activeCell="G7" sqref="G7"/>
    </sheetView>
  </sheetViews>
  <sheetFormatPr baseColWidth="8" defaultColWidth="10.90625" defaultRowHeight="14.5"/>
  <cols>
    <col width="16.3" customWidth="1" style="6" min="1" max="1"/>
    <col width="30" customWidth="1" style="6" min="2" max="2"/>
    <col width="30" customWidth="1" style="6" min="3" max="3"/>
    <col width="15.3" customWidth="1" style="6" min="4" max="5"/>
    <col width="15.3" customWidth="1" style="6" min="5" max="5"/>
    <col width="16.5" customWidth="1" style="6" min="6" max="6"/>
    <col width="15.2" customWidth="1" style="6" min="7" max="7"/>
    <col width="13" customWidth="1" style="6" min="8" max="8"/>
    <col width="13" customWidth="1" style="6" min="9" max="9"/>
    <col width="12" customWidth="1" style="6" min="10" max="10"/>
    <col width="13" customWidth="1" style="6" min="11" max="11"/>
    <col width="15" customWidth="1" style="6" min="12" max="12"/>
    <col width="15" customWidth="1" style="6" min="13" max="13"/>
  </cols>
  <sheetData>
    <row r="8" ht="15.5" customHeight="1" s="6">
      <c r="A8" s="93" t="n"/>
      <c r="B8" s="121" t="inlineStr">
        <is>
          <t>PROVINCE DU KASAI CENTRAL</t>
        </is>
      </c>
      <c r="C8" s="121" t="n"/>
      <c r="D8" s="93" t="n"/>
      <c r="E8" s="93" t="n"/>
      <c r="F8" s="93" t="n"/>
      <c r="G8" s="93" t="n"/>
      <c r="H8" s="93" t="n"/>
      <c r="I8" s="93" t="n"/>
      <c r="J8" s="93" t="n"/>
    </row>
    <row r="9" ht="15.5" customHeight="1" s="6">
      <c r="A9" s="93" t="n"/>
      <c r="B9" s="121" t="inlineStr">
        <is>
          <t>DIVISION PROVINCIALE DE LA SANTE DU KASAI CENTRAL</t>
        </is>
      </c>
      <c r="C9" s="121" t="n"/>
      <c r="D9" s="93" t="n"/>
      <c r="E9" s="93" t="n"/>
      <c r="F9" s="93" t="n"/>
      <c r="G9" s="93" t="n"/>
      <c r="H9" s="93" t="n"/>
      <c r="I9" s="93" t="n"/>
      <c r="J9" s="93" t="n"/>
    </row>
    <row r="10" ht="15.5" customHeight="1" s="6">
      <c r="A10" s="93" t="n"/>
      <c r="B10" s="121" t="inlineStr">
        <is>
          <t>COORDINATION PROVINCE PEV KASAI CENTRAL</t>
        </is>
      </c>
      <c r="C10" s="121" t="n"/>
      <c r="D10" s="93" t="n"/>
      <c r="E10" s="93" t="n"/>
      <c r="F10" s="93" t="n"/>
      <c r="G10" s="93" t="n"/>
      <c r="H10" s="93" t="n"/>
      <c r="I10" s="93" t="n"/>
      <c r="J10" s="93" t="n"/>
    </row>
    <row r="11" ht="15.5" customHeight="1" s="6">
      <c r="A11" s="121" t="inlineStr">
        <is>
          <t>ANTENNE PEV LUIZA</t>
        </is>
      </c>
      <c r="D11" s="93" t="n"/>
      <c r="E11" s="93" t="n"/>
      <c r="F11" s="93" t="n"/>
      <c r="G11" s="93" t="n"/>
      <c r="H11" s="93" t="n"/>
      <c r="I11" s="93" t="n"/>
      <c r="J11" s="93" t="n"/>
    </row>
    <row r="12" ht="15.5" customHeight="1" s="6">
      <c r="B12" s="121" t="inlineStr">
        <is>
          <t>FEVRIER 2026</t>
        </is>
      </c>
    </row>
    <row r="15" ht="34" customHeight="1" s="6" thickBot="1">
      <c r="A15" s="130" t="inlineStr">
        <is>
          <t>Antenne</t>
        </is>
      </c>
      <c r="B15" s="130" t="inlineStr">
        <is>
          <t>Zone de Santé</t>
        </is>
      </c>
      <c r="C15" s="3" t="inlineStr">
        <is>
          <t>Aires de santé</t>
        </is>
      </c>
      <c r="D15" s="4" t="inlineStr">
        <is>
          <t>Nbre des réfrigérateus solaire fonctionnel</t>
        </is>
      </c>
      <c r="E15" s="4" t="inlineStr">
        <is>
          <t>Nbre des réfrigérateurs solaire en panne</t>
        </is>
      </c>
      <c r="F15" s="4" t="inlineStr">
        <is>
          <t>Nbre des réfrigérateus à pétrole  fonctionnel</t>
        </is>
      </c>
      <c r="G15" s="4" t="inlineStr">
        <is>
          <t>Nbre des réfrigérateus à pétrole  en panne</t>
        </is>
      </c>
      <c r="H15" s="5" t="inlineStr">
        <is>
          <t>Nbre des Boites isothermes (BI)</t>
        </is>
      </c>
      <c r="I15" s="131" t="n"/>
      <c r="J15" s="5" t="inlineStr">
        <is>
          <t>Doses VAR</t>
        </is>
      </c>
      <c r="K15" s="5" t="inlineStr">
        <is>
          <t>Nbre des glacières</t>
        </is>
      </c>
      <c r="L15" s="5" t="inlineStr">
        <is>
          <t>Nbre d'accumulateur</t>
        </is>
      </c>
      <c r="M15" s="5" t="inlineStr">
        <is>
          <t>Nbre des megaphones</t>
        </is>
      </c>
    </row>
    <row r="16" ht="34" customHeight="1" s="6">
      <c r="A16" s="132" t="n"/>
      <c r="B16" s="132" t="n"/>
      <c r="C16" s="133" t="n"/>
      <c r="D16" s="134" t="n"/>
      <c r="E16" s="134" t="n"/>
      <c r="F16" s="134" t="n"/>
      <c r="G16" s="134" t="n"/>
      <c r="H16" s="5" t="inlineStr">
        <is>
          <t>Petit format</t>
        </is>
      </c>
      <c r="I16" s="5" t="inlineStr">
        <is>
          <t>Grand format</t>
        </is>
      </c>
      <c r="J16" s="134" t="n"/>
      <c r="K16" s="134" t="n"/>
      <c r="L16" s="134" t="n"/>
      <c r="M16" s="134" t="n"/>
    </row>
    <row r="17" ht="21.75" customHeight="1" s="6">
      <c r="A17" s="7" t="inlineStr">
        <is>
          <t>LUIZA</t>
        </is>
      </c>
      <c r="B17" s="20" t="inlineStr">
        <is>
          <t>Kalomba</t>
        </is>
      </c>
      <c r="C17" s="21" t="inlineStr">
        <is>
          <t>Aigle Bady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</row>
    <row r="18" ht="21.75" customHeight="1" s="6">
      <c r="A18" s="7" t="inlineStr">
        <is>
          <t>LUIZA</t>
        </is>
      </c>
      <c r="B18" s="20" t="inlineStr">
        <is>
          <t>Kalomba</t>
        </is>
      </c>
      <c r="C18" s="21" t="inlineStr">
        <is>
          <t>Kalendende</t>
        </is>
      </c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</row>
    <row r="19" ht="21.75" customHeight="1" s="6">
      <c r="A19" s="7" t="inlineStr">
        <is>
          <t>LUIZA</t>
        </is>
      </c>
      <c r="B19" s="20" t="inlineStr">
        <is>
          <t>Kalomba</t>
        </is>
      </c>
      <c r="C19" s="21" t="inlineStr">
        <is>
          <t>Kalomba</t>
        </is>
      </c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</row>
    <row r="20" ht="21.75" customHeight="1" s="6">
      <c r="A20" s="7" t="inlineStr">
        <is>
          <t>LUIZA</t>
        </is>
      </c>
      <c r="B20" s="20" t="inlineStr">
        <is>
          <t>Kalomba</t>
        </is>
      </c>
      <c r="C20" s="21" t="inlineStr">
        <is>
          <t>Kankungula</t>
        </is>
      </c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</row>
    <row r="21" ht="21.75" customHeight="1" s="6">
      <c r="A21" s="7" t="inlineStr">
        <is>
          <t>LUIZA</t>
        </is>
      </c>
      <c r="B21" s="20" t="inlineStr">
        <is>
          <t>Kalomba</t>
        </is>
      </c>
      <c r="C21" s="21" t="inlineStr">
        <is>
          <t>Kasanga Luebo</t>
        </is>
      </c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</row>
    <row r="22" ht="21.75" customHeight="1" s="6">
      <c r="A22" s="7" t="inlineStr">
        <is>
          <t>LUIZA</t>
        </is>
      </c>
      <c r="B22" s="20" t="inlineStr">
        <is>
          <t>Kalomba</t>
        </is>
      </c>
      <c r="C22" s="21" t="inlineStr">
        <is>
          <t>Kasuku</t>
        </is>
      </c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</row>
    <row r="23" ht="21.75" customHeight="1" s="6">
      <c r="A23" s="7" t="inlineStr">
        <is>
          <t>LUIZA</t>
        </is>
      </c>
      <c r="B23" s="20" t="inlineStr">
        <is>
          <t>Kalomba</t>
        </is>
      </c>
      <c r="C23" s="21" t="inlineStr">
        <is>
          <t>Katshiabala</t>
        </is>
      </c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</row>
    <row r="24" ht="21.75" customHeight="1" s="6">
      <c r="A24" s="7" t="inlineStr">
        <is>
          <t>LUIZA</t>
        </is>
      </c>
      <c r="B24" s="20" t="inlineStr">
        <is>
          <t>Kalomba</t>
        </is>
      </c>
      <c r="C24" s="21" t="inlineStr">
        <is>
          <t>Mbuluku</t>
        </is>
      </c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</row>
    <row r="25" ht="21.75" customHeight="1" s="6">
      <c r="A25" s="7" t="inlineStr">
        <is>
          <t>LUIZA</t>
        </is>
      </c>
      <c r="B25" s="20" t="inlineStr">
        <is>
          <t>Kalomba</t>
        </is>
      </c>
      <c r="C25" s="21" t="inlineStr">
        <is>
          <t>Mbunku</t>
        </is>
      </c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</row>
    <row r="26" ht="21.75" customHeight="1" s="6">
      <c r="A26" s="7" t="inlineStr">
        <is>
          <t>LUIZA</t>
        </is>
      </c>
      <c r="B26" s="20" t="inlineStr">
        <is>
          <t>Kalomba</t>
        </is>
      </c>
      <c r="C26" s="21" t="inlineStr">
        <is>
          <t>Mfuamba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</row>
    <row r="27" ht="21.75" customHeight="1" s="6">
      <c r="A27" s="7" t="inlineStr">
        <is>
          <t>LUIZA</t>
        </is>
      </c>
      <c r="B27" s="20" t="inlineStr">
        <is>
          <t>Kalomba</t>
        </is>
      </c>
      <c r="C27" s="21" t="inlineStr">
        <is>
          <t>Muendele</t>
        </is>
      </c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</row>
    <row r="28" ht="21.75" customHeight="1" s="6">
      <c r="A28" s="7" t="inlineStr">
        <is>
          <t>LUIZA</t>
        </is>
      </c>
      <c r="B28" s="20" t="inlineStr">
        <is>
          <t>Kalomba</t>
        </is>
      </c>
      <c r="C28" s="21" t="inlineStr">
        <is>
          <t>Mutetela</t>
        </is>
      </c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</row>
    <row r="29" ht="21.75" customHeight="1" s="6">
      <c r="A29" s="7" t="inlineStr">
        <is>
          <t>LUIZA</t>
        </is>
      </c>
      <c r="B29" s="20" t="inlineStr">
        <is>
          <t>Kalomba</t>
        </is>
      </c>
      <c r="C29" s="21" t="inlineStr">
        <is>
          <t>Mutondo</t>
        </is>
      </c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</row>
    <row r="30" ht="21.75" customHeight="1" s="6">
      <c r="A30" s="7" t="inlineStr">
        <is>
          <t>LUIZA</t>
        </is>
      </c>
      <c r="B30" s="20" t="inlineStr">
        <is>
          <t>Kalomba</t>
        </is>
      </c>
      <c r="C30" s="21" t="inlineStr">
        <is>
          <t>Nsuana</t>
        </is>
      </c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</row>
    <row r="31" ht="21.75" customHeight="1" s="6">
      <c r="A31" s="7" t="inlineStr">
        <is>
          <t>LUIZA</t>
        </is>
      </c>
      <c r="B31" s="20" t="inlineStr">
        <is>
          <t>Kalomba</t>
        </is>
      </c>
      <c r="C31" s="21" t="inlineStr">
        <is>
          <t>Tshiasagombe</t>
        </is>
      </c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</row>
    <row r="32" ht="21.75" customHeight="1" s="6">
      <c r="A32" s="7" t="inlineStr">
        <is>
          <t>LUIZA</t>
        </is>
      </c>
      <c r="B32" s="20" t="inlineStr">
        <is>
          <t>Kalomba</t>
        </is>
      </c>
      <c r="C32" s="21" t="inlineStr">
        <is>
          <t>Tshibandama</t>
        </is>
      </c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</row>
    <row r="33" ht="21.75" customHeight="1" s="6">
      <c r="A33" s="7" t="inlineStr">
        <is>
          <t>LUIZA</t>
        </is>
      </c>
      <c r="B33" s="20" t="inlineStr">
        <is>
          <t>Kalomba</t>
        </is>
      </c>
      <c r="C33" s="21" t="inlineStr">
        <is>
          <t>Tshitadi</t>
        </is>
      </c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</row>
    <row r="34" ht="21.75" customHeight="1" s="6">
      <c r="A34" s="7" t="inlineStr">
        <is>
          <t>LUIZA</t>
        </is>
      </c>
      <c r="B34" s="20" t="n"/>
      <c r="C34" s="21" t="inlineStr">
        <is>
          <t>BUREAU CENTRAL</t>
        </is>
      </c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</row>
    <row r="35" ht="21.75" customHeight="1" s="6">
      <c r="A35" s="135" t="inlineStr">
        <is>
          <t>TOTAL ZS KALOMBA</t>
        </is>
      </c>
      <c r="B35" s="136" t="n"/>
      <c r="C35" s="137" t="n">
        <v>17</v>
      </c>
      <c r="D35" s="137">
        <f>SUM(D17:D34)</f>
        <v/>
      </c>
      <c r="E35" s="137">
        <f>SUM(E17:E34)</f>
        <v/>
      </c>
      <c r="F35" s="137">
        <f>SUM(F17:F34)</f>
        <v/>
      </c>
      <c r="G35" s="137">
        <f>SUM(G17:G34)</f>
        <v/>
      </c>
      <c r="H35" s="137">
        <f>SUM(H17:H34)</f>
        <v/>
      </c>
      <c r="I35" s="137">
        <f>SUM(I17:I34)</f>
        <v/>
      </c>
      <c r="J35" s="137">
        <f>SUM(J17:J34)</f>
        <v/>
      </c>
      <c r="K35" s="137">
        <f>SUM(K17:K34)</f>
        <v/>
      </c>
      <c r="L35" s="137">
        <f>SUM(L17:L34)</f>
        <v/>
      </c>
      <c r="M35" s="137">
        <f>SUM(M17:M34)</f>
        <v/>
      </c>
    </row>
    <row r="36" ht="21.75" customHeight="1" s="6">
      <c r="A36" s="7" t="inlineStr">
        <is>
          <t>LUIZA</t>
        </is>
      </c>
      <c r="B36" s="20" t="inlineStr">
        <is>
          <t>Luambo</t>
        </is>
      </c>
      <c r="C36" s="21" t="inlineStr">
        <is>
          <t>Biaboko</t>
        </is>
      </c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</row>
    <row r="37" ht="21.75" customHeight="1" s="6">
      <c r="A37" s="7" t="inlineStr">
        <is>
          <t>LUIZA</t>
        </is>
      </c>
      <c r="B37" s="20" t="inlineStr">
        <is>
          <t>Luambo</t>
        </is>
      </c>
      <c r="C37" s="21" t="inlineStr">
        <is>
          <t>Kakela</t>
        </is>
      </c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</row>
    <row r="38" ht="21.75" customHeight="1" s="6">
      <c r="A38" s="7" t="inlineStr">
        <is>
          <t>LUIZA</t>
        </is>
      </c>
      <c r="B38" s="20" t="inlineStr">
        <is>
          <t>Luambo</t>
        </is>
      </c>
      <c r="C38" s="21" t="inlineStr">
        <is>
          <t>Kalamba Mbuyi</t>
        </is>
      </c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</row>
    <row r="39" ht="21.75" customHeight="1" s="6">
      <c r="A39" s="7" t="inlineStr">
        <is>
          <t>LUIZA</t>
        </is>
      </c>
      <c r="B39" s="20" t="inlineStr">
        <is>
          <t>Luambo</t>
        </is>
      </c>
      <c r="C39" s="21" t="inlineStr">
        <is>
          <t>Kambongo</t>
        </is>
      </c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</row>
    <row r="40" ht="21.75" customHeight="1" s="6">
      <c r="A40" s="7" t="inlineStr">
        <is>
          <t>LUIZA</t>
        </is>
      </c>
      <c r="B40" s="20" t="inlineStr">
        <is>
          <t>Luambo</t>
        </is>
      </c>
      <c r="C40" s="21" t="inlineStr">
        <is>
          <t>Kangambo Baka</t>
        </is>
      </c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</row>
    <row r="41" ht="21.75" customHeight="1" s="6">
      <c r="A41" s="7" t="inlineStr">
        <is>
          <t>LUIZA</t>
        </is>
      </c>
      <c r="B41" s="20" t="inlineStr">
        <is>
          <t>Luambo</t>
        </is>
      </c>
      <c r="C41" s="21" t="inlineStr">
        <is>
          <t>Kangambo Secteur</t>
        </is>
      </c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</row>
    <row r="42" ht="21.75" customHeight="1" s="6" thickBot="1">
      <c r="A42" s="7" t="inlineStr">
        <is>
          <t>LUIZA</t>
        </is>
      </c>
      <c r="B42" s="20" t="inlineStr">
        <is>
          <t>Luambo</t>
        </is>
      </c>
      <c r="C42" s="21" t="inlineStr">
        <is>
          <t>Kasombo Bishi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</row>
    <row r="43" ht="21.75" customHeight="1" s="6" thickBot="1">
      <c r="A43" s="7" t="inlineStr">
        <is>
          <t>LUIZA</t>
        </is>
      </c>
      <c r="B43" s="20" t="inlineStr">
        <is>
          <t>Luambo</t>
        </is>
      </c>
      <c r="C43" s="21" t="inlineStr">
        <is>
          <t>Kavueta</t>
        </is>
      </c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</row>
    <row r="44" ht="21.75" customHeight="1" s="6">
      <c r="A44" s="7" t="inlineStr">
        <is>
          <t>LUIZA</t>
        </is>
      </c>
      <c r="B44" s="20" t="inlineStr">
        <is>
          <t>Luambo</t>
        </is>
      </c>
      <c r="C44" s="21" t="inlineStr">
        <is>
          <t>Luambo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</row>
    <row r="45" ht="21.75" customHeight="1" s="6">
      <c r="A45" s="7" t="inlineStr">
        <is>
          <t>LUIZA</t>
        </is>
      </c>
      <c r="B45" s="20" t="inlineStr">
        <is>
          <t>Luambo</t>
        </is>
      </c>
      <c r="C45" s="21" t="inlineStr">
        <is>
          <t>Lueta</t>
        </is>
      </c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</row>
    <row r="46" ht="21.75" customHeight="1" s="6">
      <c r="A46" s="7" t="inlineStr">
        <is>
          <t>LUIZA</t>
        </is>
      </c>
      <c r="B46" s="20" t="inlineStr">
        <is>
          <t>Luambo</t>
        </is>
      </c>
      <c r="C46" s="21" t="inlineStr">
        <is>
          <t>Lumpungu</t>
        </is>
      </c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</row>
    <row r="47" ht="21.75" customHeight="1" s="6">
      <c r="A47" s="7" t="inlineStr">
        <is>
          <t>LUIZA</t>
        </is>
      </c>
      <c r="B47" s="20" t="inlineStr">
        <is>
          <t>Luambo</t>
        </is>
      </c>
      <c r="C47" s="21" t="inlineStr">
        <is>
          <t>Luyinda</t>
        </is>
      </c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</row>
    <row r="48" ht="21.75" customHeight="1" s="6">
      <c r="A48" s="7" t="inlineStr">
        <is>
          <t>LUIZA</t>
        </is>
      </c>
      <c r="B48" s="20" t="inlineStr">
        <is>
          <t>Luambo</t>
        </is>
      </c>
      <c r="C48" s="21" t="inlineStr">
        <is>
          <t>Makonde</t>
        </is>
      </c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</row>
    <row r="49" ht="21.75" customHeight="1" s="6">
      <c r="A49" s="7" t="inlineStr">
        <is>
          <t>LUIZA</t>
        </is>
      </c>
      <c r="B49" s="20" t="inlineStr">
        <is>
          <t>Luambo</t>
        </is>
      </c>
      <c r="C49" s="21" t="inlineStr">
        <is>
          <t>Mangenda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</row>
    <row r="50" ht="21.75" customHeight="1" s="6">
      <c r="A50" s="7" t="inlineStr">
        <is>
          <t>LUIZA</t>
        </is>
      </c>
      <c r="B50" s="20" t="inlineStr">
        <is>
          <t>Luambo</t>
        </is>
      </c>
      <c r="C50" s="21" t="inlineStr">
        <is>
          <t>Mbumba Kabanzi</t>
        </is>
      </c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21.75" customHeight="1" s="6">
      <c r="A51" s="7" t="inlineStr">
        <is>
          <t>LUIZA</t>
        </is>
      </c>
      <c r="B51" s="20" t="inlineStr">
        <is>
          <t>Luambo</t>
        </is>
      </c>
      <c r="C51" s="21" t="inlineStr">
        <is>
          <t>Mbunze</t>
        </is>
      </c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21.75" customHeight="1" s="6">
      <c r="A52" s="7" t="inlineStr">
        <is>
          <t>LUIZA</t>
        </is>
      </c>
      <c r="B52" s="20" t="inlineStr">
        <is>
          <t>Luambo</t>
        </is>
      </c>
      <c r="C52" s="21" t="inlineStr">
        <is>
          <t>Metsong</t>
        </is>
      </c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21.75" customHeight="1" s="6">
      <c r="A53" s="7" t="inlineStr">
        <is>
          <t>LUIZA</t>
        </is>
      </c>
      <c r="B53" s="20" t="inlineStr">
        <is>
          <t>Luambo</t>
        </is>
      </c>
      <c r="C53" s="21" t="inlineStr">
        <is>
          <t>Minkolo</t>
        </is>
      </c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</row>
    <row r="54" ht="21.75" customHeight="1" s="6">
      <c r="A54" s="7" t="inlineStr">
        <is>
          <t>LUIZA</t>
        </is>
      </c>
      <c r="B54" s="20" t="inlineStr">
        <is>
          <t>Luambo</t>
        </is>
      </c>
      <c r="C54" s="21" t="inlineStr">
        <is>
          <t>Misaku</t>
        </is>
      </c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</row>
    <row r="55" ht="21.75" customHeight="1" s="6">
      <c r="A55" s="7" t="inlineStr">
        <is>
          <t>LUIZA</t>
        </is>
      </c>
      <c r="B55" s="20" t="inlineStr">
        <is>
          <t>Luambo</t>
        </is>
      </c>
      <c r="C55" s="21" t="inlineStr">
        <is>
          <t>Muanda Kalendu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</row>
    <row r="56" ht="21.75" customHeight="1" s="6">
      <c r="A56" s="7" t="inlineStr">
        <is>
          <t>LUIZA</t>
        </is>
      </c>
      <c r="B56" s="20" t="inlineStr">
        <is>
          <t>Luambo</t>
        </is>
      </c>
      <c r="C56" s="21" t="inlineStr">
        <is>
          <t>Muangala Ngoma</t>
        </is>
      </c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21.75" customHeight="1" s="6">
      <c r="A57" s="7" t="inlineStr">
        <is>
          <t>LUIZA</t>
        </is>
      </c>
      <c r="B57" s="20" t="inlineStr">
        <is>
          <t>Luambo</t>
        </is>
      </c>
      <c r="C57" s="21" t="inlineStr">
        <is>
          <t>Mueni Mutenge</t>
        </is>
      </c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</row>
    <row r="58" ht="21.75" customHeight="1" s="6">
      <c r="A58" s="7" t="inlineStr">
        <is>
          <t>LUIZA</t>
        </is>
      </c>
      <c r="B58" s="20" t="inlineStr">
        <is>
          <t>Luambo</t>
        </is>
      </c>
      <c r="C58" s="21" t="inlineStr">
        <is>
          <t>Muzodi</t>
        </is>
      </c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</row>
    <row r="59" ht="21.75" customHeight="1" s="6">
      <c r="A59" s="7" t="inlineStr">
        <is>
          <t>LUIZA</t>
        </is>
      </c>
      <c r="B59" s="20" t="inlineStr">
        <is>
          <t>Luambo</t>
        </is>
      </c>
      <c r="C59" s="21" t="inlineStr">
        <is>
          <t>Ndolo Mayimbu</t>
        </is>
      </c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</row>
    <row r="60" ht="21.75" customHeight="1" s="6">
      <c r="A60" s="7" t="inlineStr">
        <is>
          <t>LUIZA</t>
        </is>
      </c>
      <c r="B60" s="20" t="inlineStr">
        <is>
          <t>Luambo</t>
        </is>
      </c>
      <c r="C60" s="21" t="inlineStr">
        <is>
          <t>Ngovo</t>
        </is>
      </c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</row>
    <row r="61" ht="21.75" customHeight="1" s="6">
      <c r="A61" s="7" t="inlineStr">
        <is>
          <t>LUIZA</t>
        </is>
      </c>
      <c r="B61" s="20" t="inlineStr">
        <is>
          <t>Luambo</t>
        </is>
      </c>
      <c r="C61" s="21" t="inlineStr">
        <is>
          <t>Tshikuni</t>
        </is>
      </c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21.75" customHeight="1" s="6">
      <c r="A62" s="7" t="inlineStr">
        <is>
          <t>LUIZA</t>
        </is>
      </c>
      <c r="B62" s="20" t="n"/>
      <c r="C62" s="21" t="inlineStr">
        <is>
          <t>BUREAU CENTRAL</t>
        </is>
      </c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</row>
    <row r="63" ht="21.75" customHeight="1" s="6">
      <c r="A63" s="135" t="inlineStr">
        <is>
          <t>TOTAL ZS LUAMBO</t>
        </is>
      </c>
      <c r="B63" s="136" t="n"/>
      <c r="C63" s="137" t="n">
        <v>26</v>
      </c>
      <c r="D63" s="137">
        <f>SUM(D36:D62)</f>
        <v/>
      </c>
      <c r="E63" s="137">
        <f>SUM(E36:E62)</f>
        <v/>
      </c>
      <c r="F63" s="137">
        <f>SUM(F36:F62)</f>
        <v/>
      </c>
      <c r="G63" s="137">
        <f>SUM(G36:G62)</f>
        <v/>
      </c>
      <c r="H63" s="137">
        <f>SUM(H36:H62)</f>
        <v/>
      </c>
      <c r="I63" s="137">
        <f>SUM(I36:I62)</f>
        <v/>
      </c>
      <c r="J63" s="137">
        <f>SUM(J36:J62)</f>
        <v/>
      </c>
      <c r="K63" s="137">
        <f>SUM(K36:K62)</f>
        <v/>
      </c>
      <c r="L63" s="137">
        <f>SUM(L36:L62)</f>
        <v/>
      </c>
      <c r="M63" s="137">
        <f>SUM(M36:M62)</f>
        <v/>
      </c>
    </row>
    <row r="64" ht="21.75" customHeight="1" s="6">
      <c r="A64" s="7" t="inlineStr">
        <is>
          <t>LUIZA</t>
        </is>
      </c>
      <c r="B64" s="20" t="inlineStr">
        <is>
          <t>Luiza</t>
        </is>
      </c>
      <c r="C64" s="21" t="inlineStr">
        <is>
          <t>Bambaie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</row>
    <row r="65" ht="21.75" customHeight="1" s="6" thickBot="1">
      <c r="A65" s="7" t="inlineStr">
        <is>
          <t>LUIZA</t>
        </is>
      </c>
      <c r="B65" s="20" t="inlineStr">
        <is>
          <t>Luiza</t>
        </is>
      </c>
      <c r="C65" s="21" t="inlineStr">
        <is>
          <t>Communautaire</t>
        </is>
      </c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</row>
    <row r="66" ht="21.75" customHeight="1" s="6" thickBot="1">
      <c r="A66" s="7" t="inlineStr">
        <is>
          <t>LUIZA</t>
        </is>
      </c>
      <c r="B66" s="20" t="inlineStr">
        <is>
          <t>Luiza</t>
        </is>
      </c>
      <c r="C66" s="21" t="inlineStr">
        <is>
          <t>Isasa</t>
        </is>
      </c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</row>
    <row r="67" ht="21.75" customHeight="1" s="6">
      <c r="A67" s="7" t="inlineStr">
        <is>
          <t>LUIZA</t>
        </is>
      </c>
      <c r="B67" s="20" t="inlineStr">
        <is>
          <t>Luiza</t>
        </is>
      </c>
      <c r="C67" s="21" t="inlineStr">
        <is>
          <t>Kabuanga</t>
        </is>
      </c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</row>
    <row r="68" ht="21.75" customHeight="1" s="6">
      <c r="A68" s="7" t="inlineStr">
        <is>
          <t>LUIZA</t>
        </is>
      </c>
      <c r="B68" s="20" t="inlineStr">
        <is>
          <t>Luiza</t>
        </is>
      </c>
      <c r="C68" s="21" t="inlineStr">
        <is>
          <t>Kakala</t>
        </is>
      </c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</row>
    <row r="69" ht="21.75" customHeight="1" s="6">
      <c r="A69" s="7" t="inlineStr">
        <is>
          <t>LUIZA</t>
        </is>
      </c>
      <c r="B69" s="20" t="inlineStr">
        <is>
          <t>Luiza</t>
        </is>
      </c>
      <c r="C69" s="21" t="inlineStr">
        <is>
          <t>Kakamba</t>
        </is>
      </c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</row>
    <row r="70" ht="21.75" customHeight="1" s="6">
      <c r="A70" s="7" t="inlineStr">
        <is>
          <t>LUIZA</t>
        </is>
      </c>
      <c r="B70" s="20" t="inlineStr">
        <is>
          <t>Luiza</t>
        </is>
      </c>
      <c r="C70" s="21" t="inlineStr">
        <is>
          <t>Kamayi</t>
        </is>
      </c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</row>
    <row r="71" ht="21.75" customHeight="1" s="6">
      <c r="A71" s="7" t="inlineStr">
        <is>
          <t>LUIZA</t>
        </is>
      </c>
      <c r="B71" s="20" t="inlineStr">
        <is>
          <t>Luiza</t>
        </is>
      </c>
      <c r="C71" s="21" t="inlineStr">
        <is>
          <t>Kamushilu</t>
        </is>
      </c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</row>
    <row r="72" ht="21.75" customHeight="1" s="6">
      <c r="A72" s="7" t="inlineStr">
        <is>
          <t>LUIZA</t>
        </is>
      </c>
      <c r="B72" s="20" t="inlineStr">
        <is>
          <t>Luiza</t>
        </is>
      </c>
      <c r="C72" s="21" t="inlineStr">
        <is>
          <t>Kandakanda</t>
        </is>
      </c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</row>
    <row r="73" ht="21.75" customHeight="1" s="6">
      <c r="A73" s="7" t="inlineStr">
        <is>
          <t>LUIZA</t>
        </is>
      </c>
      <c r="B73" s="20" t="inlineStr">
        <is>
          <t>Luiza</t>
        </is>
      </c>
      <c r="C73" s="21" t="inlineStr">
        <is>
          <t>Kapanga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</row>
    <row r="74" ht="21.75" customHeight="1" s="6">
      <c r="A74" s="7" t="inlineStr">
        <is>
          <t>LUIZA</t>
        </is>
      </c>
      <c r="B74" s="20" t="inlineStr">
        <is>
          <t>Luiza</t>
        </is>
      </c>
      <c r="C74" s="21" t="inlineStr">
        <is>
          <t>Kasonga</t>
        </is>
      </c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</row>
    <row r="75" ht="21.75" customHeight="1" s="6">
      <c r="A75" s="7" t="inlineStr">
        <is>
          <t>LUIZA</t>
        </is>
      </c>
      <c r="B75" s="20" t="inlineStr">
        <is>
          <t>Luiza</t>
        </is>
      </c>
      <c r="C75" s="21" t="inlineStr">
        <is>
          <t>Kazea</t>
        </is>
      </c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</row>
    <row r="76" ht="21.75" customHeight="1" s="6">
      <c r="A76" s="7" t="inlineStr">
        <is>
          <t>LUIZA</t>
        </is>
      </c>
      <c r="B76" s="20" t="inlineStr">
        <is>
          <t>Luiza</t>
        </is>
      </c>
      <c r="C76" s="21" t="inlineStr">
        <is>
          <t>Kitoko</t>
        </is>
      </c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</row>
    <row r="77" ht="21.75" customHeight="1" s="6">
      <c r="A77" s="7" t="inlineStr">
        <is>
          <t>LUIZA</t>
        </is>
      </c>
      <c r="B77" s="20" t="inlineStr">
        <is>
          <t>Luiza</t>
        </is>
      </c>
      <c r="C77" s="21" t="inlineStr">
        <is>
          <t>Lusengu</t>
        </is>
      </c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</row>
    <row r="78" ht="21.75" customHeight="1" s="6">
      <c r="A78" s="7" t="inlineStr">
        <is>
          <t>LUIZA</t>
        </is>
      </c>
      <c r="B78" s="20" t="inlineStr">
        <is>
          <t>Luiza</t>
        </is>
      </c>
      <c r="C78" s="21" t="inlineStr">
        <is>
          <t>Moma</t>
        </is>
      </c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</row>
    <row r="79" ht="21.75" customHeight="1" s="6">
      <c r="A79" s="7" t="inlineStr">
        <is>
          <t>LUIZA</t>
        </is>
      </c>
      <c r="B79" s="20" t="inlineStr">
        <is>
          <t>Luiza</t>
        </is>
      </c>
      <c r="C79" s="21" t="inlineStr">
        <is>
          <t>Mpika Mbuji</t>
        </is>
      </c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</row>
    <row r="80" ht="21.75" customHeight="1" s="6">
      <c r="A80" s="7" t="inlineStr">
        <is>
          <t>LUIZA</t>
        </is>
      </c>
      <c r="B80" s="20" t="inlineStr">
        <is>
          <t>Luiza</t>
        </is>
      </c>
      <c r="C80" s="21" t="inlineStr">
        <is>
          <t>Mubinza</t>
        </is>
      </c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</row>
    <row r="81" ht="21.75" customHeight="1" s="6">
      <c r="A81" s="7" t="inlineStr">
        <is>
          <t>LUIZA</t>
        </is>
      </c>
      <c r="B81" s="20" t="inlineStr">
        <is>
          <t>Luiza</t>
        </is>
      </c>
      <c r="C81" s="21" t="inlineStr">
        <is>
          <t>Mukuadjanga</t>
        </is>
      </c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</row>
    <row r="82" ht="21.75" customHeight="1" s="6">
      <c r="A82" s="7" t="inlineStr">
        <is>
          <t>LUIZA</t>
        </is>
      </c>
      <c r="B82" s="20" t="inlineStr">
        <is>
          <t>Luiza</t>
        </is>
      </c>
      <c r="C82" s="21" t="inlineStr">
        <is>
          <t>Mukungu</t>
        </is>
      </c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</row>
    <row r="83" ht="21.75" customHeight="1" s="6">
      <c r="A83" s="7" t="inlineStr">
        <is>
          <t>LUIZA</t>
        </is>
      </c>
      <c r="B83" s="20" t="inlineStr">
        <is>
          <t>Luiza</t>
        </is>
      </c>
      <c r="C83" s="21" t="inlineStr">
        <is>
          <t>Tutante</t>
        </is>
      </c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</row>
    <row r="84" ht="21.75" customHeight="1" s="6">
      <c r="A84" s="7" t="inlineStr">
        <is>
          <t>LUIZA</t>
        </is>
      </c>
      <c r="B84" s="20" t="n"/>
      <c r="C84" s="21" t="inlineStr">
        <is>
          <t>BUREAU CENTRAL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</row>
    <row r="85" ht="21.75" customHeight="1" s="6">
      <c r="A85" s="135" t="inlineStr">
        <is>
          <t>TOTAL ZS LUIZA</t>
        </is>
      </c>
      <c r="B85" s="136" t="n"/>
      <c r="C85" s="137" t="n">
        <v>20</v>
      </c>
      <c r="D85" s="137">
        <f>SUM(D64:D84)</f>
        <v/>
      </c>
      <c r="E85" s="137">
        <f>SUM(E64:E84)</f>
        <v/>
      </c>
      <c r="F85" s="137">
        <f>SUM(F64:F84)</f>
        <v/>
      </c>
      <c r="G85" s="137">
        <f>SUM(G64:G84)</f>
        <v/>
      </c>
      <c r="H85" s="137">
        <f>SUM(H64:H84)</f>
        <v/>
      </c>
      <c r="I85" s="137">
        <f>SUM(I64:I84)</f>
        <v/>
      </c>
      <c r="J85" s="137">
        <f>SUM(J64:J84)</f>
        <v/>
      </c>
      <c r="K85" s="137">
        <f>SUM(K64:K84)</f>
        <v/>
      </c>
      <c r="L85" s="137">
        <f>SUM(L64:L84)</f>
        <v/>
      </c>
      <c r="M85" s="137">
        <f>SUM(M64:M84)</f>
        <v/>
      </c>
    </row>
    <row r="86" ht="21.75" customHeight="1" s="6">
      <c r="A86" s="7" t="inlineStr">
        <is>
          <t>LUIZA</t>
        </is>
      </c>
      <c r="B86" s="20" t="inlineStr">
        <is>
          <t>Masuika</t>
        </is>
      </c>
      <c r="C86" s="21" t="inlineStr">
        <is>
          <t>Kalala Diboko</t>
        </is>
      </c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</row>
    <row r="87" ht="21.75" customHeight="1" s="6">
      <c r="A87" s="7" t="inlineStr">
        <is>
          <t>LUIZA</t>
        </is>
      </c>
      <c r="B87" s="20" t="inlineStr">
        <is>
          <t>Masuika</t>
        </is>
      </c>
      <c r="C87" s="21" t="inlineStr">
        <is>
          <t>Kamoto</t>
        </is>
      </c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</row>
    <row r="88" ht="21.75" customHeight="1" s="6">
      <c r="A88" s="7" t="inlineStr">
        <is>
          <t>LUIZA</t>
        </is>
      </c>
      <c r="B88" s="20" t="inlineStr">
        <is>
          <t>Masuika</t>
        </is>
      </c>
      <c r="C88" s="21" t="inlineStr">
        <is>
          <t>Kapasi</t>
        </is>
      </c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</row>
    <row r="89" ht="21.75" customHeight="1" s="6">
      <c r="A89" s="7" t="inlineStr">
        <is>
          <t>LUIZA</t>
        </is>
      </c>
      <c r="B89" s="20" t="inlineStr">
        <is>
          <t>Masuika</t>
        </is>
      </c>
      <c r="C89" s="21" t="inlineStr">
        <is>
          <t>Katenga</t>
        </is>
      </c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</row>
    <row r="90" ht="21.75" customHeight="1" s="6">
      <c r="A90" s="7" t="inlineStr">
        <is>
          <t>LUIZA</t>
        </is>
      </c>
      <c r="B90" s="20" t="inlineStr">
        <is>
          <t>Masuika</t>
        </is>
      </c>
      <c r="C90" s="21" t="inlineStr">
        <is>
          <t>Madia Madia</t>
        </is>
      </c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</row>
    <row r="91" ht="21.75" customHeight="1" s="6" thickBot="1">
      <c r="A91" s="7" t="inlineStr">
        <is>
          <t>LUIZA</t>
        </is>
      </c>
      <c r="B91" s="20" t="inlineStr">
        <is>
          <t>Masuika</t>
        </is>
      </c>
      <c r="C91" s="21" t="inlineStr">
        <is>
          <t>Malendji</t>
        </is>
      </c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</row>
    <row r="92" ht="21.75" customHeight="1" s="6" thickBot="1">
      <c r="A92" s="7" t="inlineStr">
        <is>
          <t>LUIZA</t>
        </is>
      </c>
      <c r="B92" s="20" t="inlineStr">
        <is>
          <t>Masuika</t>
        </is>
      </c>
      <c r="C92" s="21" t="inlineStr">
        <is>
          <t>Masuika</t>
        </is>
      </c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</row>
    <row r="93" ht="21.75" customHeight="1" s="6">
      <c r="A93" s="7" t="inlineStr">
        <is>
          <t>LUIZA</t>
        </is>
      </c>
      <c r="B93" s="20" t="inlineStr">
        <is>
          <t>Masuika</t>
        </is>
      </c>
      <c r="C93" s="21" t="inlineStr">
        <is>
          <t>Mata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</row>
    <row r="94" ht="21.75" customHeight="1" s="6">
      <c r="A94" s="7" t="inlineStr">
        <is>
          <t>LUIZA</t>
        </is>
      </c>
      <c r="B94" s="20" t="inlineStr">
        <is>
          <t>Masuika</t>
        </is>
      </c>
      <c r="C94" s="21" t="inlineStr">
        <is>
          <t>Mbangu</t>
        </is>
      </c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</row>
    <row r="95" ht="21.75" customHeight="1" s="6">
      <c r="A95" s="7" t="inlineStr">
        <is>
          <t>LUIZA</t>
        </is>
      </c>
      <c r="B95" s="20" t="inlineStr">
        <is>
          <t>Masuika</t>
        </is>
      </c>
      <c r="C95" s="21" t="inlineStr">
        <is>
          <t>Muala Ntumba</t>
        </is>
      </c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</row>
    <row r="96" ht="21.75" customHeight="1" s="6">
      <c r="A96" s="7" t="inlineStr">
        <is>
          <t>LUIZA</t>
        </is>
      </c>
      <c r="B96" s="20" t="inlineStr">
        <is>
          <t>Masuika</t>
        </is>
      </c>
      <c r="C96" s="21" t="inlineStr">
        <is>
          <t>Mukalenge Mulolo</t>
        </is>
      </c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</row>
    <row r="97" ht="21.75" customHeight="1" s="6">
      <c r="A97" s="7" t="inlineStr">
        <is>
          <t>LUIZA</t>
        </is>
      </c>
      <c r="B97" s="20" t="inlineStr">
        <is>
          <t>Masuika</t>
        </is>
      </c>
      <c r="C97" s="21" t="inlineStr">
        <is>
          <t>Mukasa</t>
        </is>
      </c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</row>
    <row r="98" ht="21.75" customHeight="1" s="6">
      <c r="A98" s="7" t="inlineStr">
        <is>
          <t>LUIZA</t>
        </is>
      </c>
      <c r="B98" s="20" t="inlineStr">
        <is>
          <t>Masuika</t>
        </is>
      </c>
      <c r="C98" s="21" t="inlineStr">
        <is>
          <t>Musefu</t>
        </is>
      </c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</row>
    <row r="99" ht="21.75" customHeight="1" s="6">
      <c r="A99" s="7" t="inlineStr">
        <is>
          <t>LUIZA</t>
        </is>
      </c>
      <c r="B99" s="20" t="inlineStr">
        <is>
          <t>Masuika</t>
        </is>
      </c>
      <c r="C99" s="21" t="inlineStr">
        <is>
          <t>Mutengenyi</t>
        </is>
      </c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</row>
    <row r="100" ht="21.75" customHeight="1" s="6">
      <c r="A100" s="7" t="inlineStr">
        <is>
          <t>LUIZA</t>
        </is>
      </c>
      <c r="B100" s="20" t="inlineStr">
        <is>
          <t>Masuika</t>
        </is>
      </c>
      <c r="C100" s="21" t="inlineStr">
        <is>
          <t>Muvuanu</t>
        </is>
      </c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</row>
    <row r="101" ht="21.75" customHeight="1" s="6">
      <c r="A101" s="7" t="inlineStr">
        <is>
          <t>LUIZA</t>
        </is>
      </c>
      <c r="B101" s="20" t="inlineStr">
        <is>
          <t>Masuika</t>
        </is>
      </c>
      <c r="C101" s="21" t="inlineStr">
        <is>
          <t>Nsakazaji</t>
        </is>
      </c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</row>
    <row r="102" ht="21.75" customHeight="1" s="6">
      <c r="A102" s="7" t="inlineStr">
        <is>
          <t>LUIZA</t>
        </is>
      </c>
      <c r="B102" s="20" t="inlineStr">
        <is>
          <t>Masuika</t>
        </is>
      </c>
      <c r="C102" s="21" t="inlineStr">
        <is>
          <t>Ntende</t>
        </is>
      </c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</row>
    <row r="103" ht="21.75" customHeight="1" s="6">
      <c r="A103" s="7" t="inlineStr">
        <is>
          <t>LUIZA</t>
        </is>
      </c>
      <c r="B103" s="20" t="inlineStr">
        <is>
          <t>Masuika</t>
        </is>
      </c>
      <c r="C103" s="21" t="inlineStr">
        <is>
          <t>Samadia</t>
        </is>
      </c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</row>
    <row r="104" ht="21.75" customHeight="1" s="6">
      <c r="A104" s="7" t="inlineStr">
        <is>
          <t>LUIZA</t>
        </is>
      </c>
      <c r="B104" s="20" t="inlineStr">
        <is>
          <t>Masuika</t>
        </is>
      </c>
      <c r="C104" s="21" t="inlineStr">
        <is>
          <t>Samakuta</t>
        </is>
      </c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</row>
    <row r="105" ht="21.75" customHeight="1" s="6">
      <c r="A105" s="7" t="inlineStr">
        <is>
          <t>LUIZA</t>
        </is>
      </c>
      <c r="B105" s="20" t="inlineStr">
        <is>
          <t>Masuika</t>
        </is>
      </c>
      <c r="C105" s="21" t="inlineStr">
        <is>
          <t>Sambuyi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</row>
    <row r="106" ht="21.75" customHeight="1" s="6">
      <c r="A106" s="7" t="inlineStr">
        <is>
          <t>LUIZA</t>
        </is>
      </c>
      <c r="B106" s="20" t="inlineStr">
        <is>
          <t>Masuika</t>
        </is>
      </c>
      <c r="C106" s="21" t="inlineStr">
        <is>
          <t>Tulume</t>
        </is>
      </c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</row>
    <row r="107" ht="21.75" customHeight="1" s="6">
      <c r="A107" s="7" t="inlineStr">
        <is>
          <t>LUIZA</t>
        </is>
      </c>
      <c r="B107" s="20" t="inlineStr">
        <is>
          <t>Masuika</t>
        </is>
      </c>
      <c r="C107" s="21" t="inlineStr">
        <is>
          <t>Ulamba</t>
        </is>
      </c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</row>
    <row r="108" ht="21.75" customHeight="1" s="6">
      <c r="A108" s="7" t="inlineStr">
        <is>
          <t>LUIZA</t>
        </is>
      </c>
      <c r="B108" s="20" t="inlineStr">
        <is>
          <t>Masuika</t>
        </is>
      </c>
      <c r="C108" s="21" t="inlineStr">
        <is>
          <t>Ulongo</t>
        </is>
      </c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</row>
    <row r="109" ht="21.75" customHeight="1" s="6">
      <c r="A109" s="7" t="inlineStr">
        <is>
          <t>LUIZA</t>
        </is>
      </c>
      <c r="B109" s="20" t="n"/>
      <c r="C109" s="21" t="inlineStr">
        <is>
          <t>BUREAU CENTRAL</t>
        </is>
      </c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</row>
    <row r="110" ht="21.75" customHeight="1" s="6">
      <c r="A110" s="135" t="inlineStr">
        <is>
          <t>TOTAL ZS MASUIKA</t>
        </is>
      </c>
      <c r="B110" s="136" t="n"/>
      <c r="C110" s="137" t="n">
        <v>23</v>
      </c>
      <c r="D110" s="137">
        <f>SUM(D86:D109)</f>
        <v/>
      </c>
      <c r="E110" s="137">
        <f>SUM(E86:E109)</f>
        <v/>
      </c>
      <c r="F110" s="137">
        <f>SUM(F86:F109)</f>
        <v/>
      </c>
      <c r="G110" s="137">
        <f>SUM(G86:G109)</f>
        <v/>
      </c>
      <c r="H110" s="137">
        <f>SUM(H86:H109)</f>
        <v/>
      </c>
      <c r="I110" s="137">
        <f>SUM(I86:I109)</f>
        <v/>
      </c>
      <c r="J110" s="137">
        <f>SUM(J86:J109)</f>
        <v/>
      </c>
      <c r="K110" s="137">
        <f>SUM(K86:K109)</f>
        <v/>
      </c>
      <c r="L110" s="137">
        <f>SUM(L86:L109)</f>
        <v/>
      </c>
      <c r="M110" s="137">
        <f>SUM(M86:M109)</f>
        <v/>
      </c>
    </row>
    <row r="111" ht="21.75" customHeight="1" s="6">
      <c r="A111" s="7" t="inlineStr">
        <is>
          <t>LUIZA</t>
        </is>
      </c>
      <c r="B111" s="20" t="inlineStr">
        <is>
          <t>Tshibala</t>
        </is>
      </c>
      <c r="C111" s="21" t="inlineStr">
        <is>
          <t>Bashitshibayi</t>
        </is>
      </c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</row>
    <row r="112" ht="21.75" customHeight="1" s="6">
      <c r="A112" s="7" t="inlineStr">
        <is>
          <t>LUIZA</t>
        </is>
      </c>
      <c r="B112" s="20" t="inlineStr">
        <is>
          <t>Tshibala</t>
        </is>
      </c>
      <c r="C112" s="21" t="inlineStr">
        <is>
          <t>Bisobo</t>
        </is>
      </c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</row>
    <row r="113" ht="21.75" customHeight="1" s="6">
      <c r="A113" s="7" t="inlineStr">
        <is>
          <t>LUIZA</t>
        </is>
      </c>
      <c r="B113" s="20" t="inlineStr">
        <is>
          <t>Tshibala</t>
        </is>
      </c>
      <c r="C113" s="21" t="inlineStr">
        <is>
          <t>Bondeko</t>
        </is>
      </c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</row>
    <row r="114" ht="21.75" customHeight="1" s="6">
      <c r="A114" s="7" t="inlineStr">
        <is>
          <t>LUIZA</t>
        </is>
      </c>
      <c r="B114" s="20" t="inlineStr">
        <is>
          <t>Tshibala</t>
        </is>
      </c>
      <c r="C114" s="21" t="inlineStr">
        <is>
          <t>Dibatayi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</row>
    <row r="115" ht="21.75" customHeight="1" s="6">
      <c r="A115" s="7" t="inlineStr">
        <is>
          <t>LUIZA</t>
        </is>
      </c>
      <c r="B115" s="20" t="inlineStr">
        <is>
          <t>Tshibala</t>
        </is>
      </c>
      <c r="C115" s="21" t="inlineStr">
        <is>
          <t>Gabinda</t>
        </is>
      </c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</row>
    <row r="116" ht="21.75" customHeight="1" s="6">
      <c r="A116" s="7" t="inlineStr">
        <is>
          <t>LUIZA</t>
        </is>
      </c>
      <c r="B116" s="20" t="inlineStr">
        <is>
          <t>Tshibala</t>
        </is>
      </c>
      <c r="C116" s="21" t="inlineStr">
        <is>
          <t>Gambamba</t>
        </is>
      </c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</row>
    <row r="117" ht="21.75" customHeight="1" s="6">
      <c r="A117" s="7" t="inlineStr">
        <is>
          <t>LUIZA</t>
        </is>
      </c>
      <c r="B117" s="20" t="inlineStr">
        <is>
          <t>Tshibala</t>
        </is>
      </c>
      <c r="C117" s="21" t="inlineStr">
        <is>
          <t>Gumisu Gumisu</t>
        </is>
      </c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</row>
    <row r="118" ht="21.75" customHeight="1" s="6">
      <c r="A118" s="7" t="inlineStr">
        <is>
          <t>LUIZA</t>
        </is>
      </c>
      <c r="B118" s="20" t="inlineStr">
        <is>
          <t>Tshibala</t>
        </is>
      </c>
      <c r="C118" s="21" t="inlineStr">
        <is>
          <t>Kaladila</t>
        </is>
      </c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</row>
    <row r="119" ht="21.75" customHeight="1" s="6">
      <c r="A119" s="7" t="inlineStr">
        <is>
          <t>LUIZA</t>
        </is>
      </c>
      <c r="B119" s="20" t="inlineStr">
        <is>
          <t>Tshibala</t>
        </is>
      </c>
      <c r="C119" s="21" t="inlineStr">
        <is>
          <t>Kaputa</t>
        </is>
      </c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</row>
    <row r="120" ht="21.75" customHeight="1" s="6">
      <c r="A120" s="7" t="inlineStr">
        <is>
          <t>LUIZA</t>
        </is>
      </c>
      <c r="B120" s="20" t="inlineStr">
        <is>
          <t>Tshibala</t>
        </is>
      </c>
      <c r="C120" s="21" t="inlineStr">
        <is>
          <t>Kavula</t>
        </is>
      </c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</row>
    <row r="121" ht="21.75" customHeight="1" s="6">
      <c r="A121" s="7" t="inlineStr">
        <is>
          <t>LUIZA</t>
        </is>
      </c>
      <c r="B121" s="20" t="inlineStr">
        <is>
          <t>Tshibala</t>
        </is>
      </c>
      <c r="C121" s="21" t="inlineStr">
        <is>
          <t>Kibuani</t>
        </is>
      </c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</row>
    <row r="122" ht="21.75" customHeight="1" s="6">
      <c r="A122" s="7" t="inlineStr">
        <is>
          <t>LUIZA</t>
        </is>
      </c>
      <c r="B122" s="20" t="inlineStr">
        <is>
          <t>Tshibala</t>
        </is>
      </c>
      <c r="C122" s="21" t="inlineStr">
        <is>
          <t>Luandanda</t>
        </is>
      </c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</row>
    <row r="123" ht="21.75" customHeight="1" s="6">
      <c r="A123" s="7" t="inlineStr">
        <is>
          <t>LUIZA</t>
        </is>
      </c>
      <c r="B123" s="20" t="inlineStr">
        <is>
          <t>Tshibala</t>
        </is>
      </c>
      <c r="C123" s="21" t="inlineStr">
        <is>
          <t>Luemba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</row>
    <row r="124" ht="21.75" customHeight="1" s="6">
      <c r="A124" s="7" t="inlineStr">
        <is>
          <t>LUIZA</t>
        </is>
      </c>
      <c r="B124" s="20" t="inlineStr">
        <is>
          <t>Tshibala</t>
        </is>
      </c>
      <c r="C124" s="21" t="inlineStr">
        <is>
          <t>Matadi</t>
        </is>
      </c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</row>
    <row r="125" ht="21.75" customHeight="1" s="6">
      <c r="A125" s="7" t="inlineStr">
        <is>
          <t>LUIZA</t>
        </is>
      </c>
      <c r="B125" s="20" t="inlineStr">
        <is>
          <t>Tshibala</t>
        </is>
      </c>
      <c r="C125" s="21" t="inlineStr">
        <is>
          <t>Muamono</t>
        </is>
      </c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</row>
    <row r="126" ht="21.75" customHeight="1" s="6">
      <c r="A126" s="7" t="inlineStr">
        <is>
          <t>LUIZA</t>
        </is>
      </c>
      <c r="B126" s="20" t="inlineStr">
        <is>
          <t>Tshibala</t>
        </is>
      </c>
      <c r="C126" s="21" t="inlineStr">
        <is>
          <t>Muevu</t>
        </is>
      </c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</row>
    <row r="127" ht="21.75" customHeight="1" s="6">
      <c r="A127" s="7" t="inlineStr">
        <is>
          <t>LUIZA</t>
        </is>
      </c>
      <c r="B127" s="20" t="inlineStr">
        <is>
          <t>Tshibala</t>
        </is>
      </c>
      <c r="C127" s="21" t="inlineStr">
        <is>
          <t>Mukoyi</t>
        </is>
      </c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</row>
    <row r="128" ht="21.75" customHeight="1" s="6">
      <c r="A128" s="7" t="inlineStr">
        <is>
          <t>LUIZA</t>
        </is>
      </c>
      <c r="B128" s="20" t="inlineStr">
        <is>
          <t>Tshibala</t>
        </is>
      </c>
      <c r="C128" s="21" t="inlineStr">
        <is>
          <t>Musasa</t>
        </is>
      </c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</row>
    <row r="129" ht="21.75" customHeight="1" s="6">
      <c r="A129" s="7" t="inlineStr">
        <is>
          <t>LUIZA</t>
        </is>
      </c>
      <c r="B129" s="20" t="inlineStr">
        <is>
          <t>Tshibala</t>
        </is>
      </c>
      <c r="C129" s="21" t="inlineStr">
        <is>
          <t>Nguema</t>
        </is>
      </c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</row>
    <row r="130" ht="21.75" customHeight="1" s="6">
      <c r="A130" s="7" t="inlineStr">
        <is>
          <t>LUIZA</t>
        </is>
      </c>
      <c r="B130" s="20" t="inlineStr">
        <is>
          <t>Tshibala</t>
        </is>
      </c>
      <c r="C130" s="21" t="inlineStr">
        <is>
          <t>Nkongolo</t>
        </is>
      </c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</row>
    <row r="131" ht="21.75" customHeight="1" s="6">
      <c r="A131" s="7" t="inlineStr">
        <is>
          <t>LUIZA</t>
        </is>
      </c>
      <c r="B131" s="20" t="inlineStr">
        <is>
          <t>Tshibala</t>
        </is>
      </c>
      <c r="C131" s="21" t="inlineStr">
        <is>
          <t>Shapula</t>
        </is>
      </c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</row>
    <row r="132" ht="21.75" customHeight="1" s="6">
      <c r="A132" s="7" t="inlineStr">
        <is>
          <t>LUIZA</t>
        </is>
      </c>
      <c r="B132" s="20" t="inlineStr">
        <is>
          <t>Tshibala</t>
        </is>
      </c>
      <c r="C132" s="21" t="inlineStr">
        <is>
          <t>Shawanga</t>
        </is>
      </c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</row>
    <row r="133" ht="21.75" customHeight="1" s="6">
      <c r="A133" s="7" t="inlineStr">
        <is>
          <t>LUIZA</t>
        </is>
      </c>
      <c r="B133" s="20" t="inlineStr">
        <is>
          <t>Tshibala</t>
        </is>
      </c>
      <c r="C133" s="21" t="inlineStr">
        <is>
          <t>St Felix</t>
        </is>
      </c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</row>
    <row r="134" ht="21.75" customHeight="1" s="6">
      <c r="A134" s="7" t="inlineStr">
        <is>
          <t>LUIZA</t>
        </is>
      </c>
      <c r="B134" s="20" t="inlineStr">
        <is>
          <t>Tshibala</t>
        </is>
      </c>
      <c r="C134" s="21" t="inlineStr">
        <is>
          <t>Tshisenge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</row>
    <row r="135" ht="21.75" customHeight="1" s="6">
      <c r="A135" s="7" t="inlineStr">
        <is>
          <t>LUIZA</t>
        </is>
      </c>
      <c r="B135" s="20" t="inlineStr">
        <is>
          <t>Tshibala</t>
        </is>
      </c>
      <c r="C135" s="21" t="inlineStr">
        <is>
          <t>Tshitupa</t>
        </is>
      </c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</row>
    <row r="136" ht="21.75" customHeight="1" s="6">
      <c r="A136" s="7" t="inlineStr">
        <is>
          <t>LUIZA</t>
        </is>
      </c>
      <c r="B136" s="20" t="inlineStr">
        <is>
          <t>Tshibala</t>
        </is>
      </c>
      <c r="C136" s="21" t="inlineStr">
        <is>
          <t>Tsuingila</t>
        </is>
      </c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</row>
    <row r="137" ht="21.75" customHeight="1" s="6">
      <c r="A137" s="7" t="inlineStr">
        <is>
          <t>LUIZA</t>
        </is>
      </c>
      <c r="B137" s="20" t="inlineStr">
        <is>
          <t>Tshibala</t>
        </is>
      </c>
      <c r="C137" s="21" t="inlineStr">
        <is>
          <t>Tubanga</t>
        </is>
      </c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</row>
    <row r="138" ht="21.75" customHeight="1" s="6">
      <c r="A138" s="7" t="inlineStr">
        <is>
          <t>LUIZA</t>
        </is>
      </c>
      <c r="B138" s="20" t="n"/>
      <c r="C138" s="21" t="inlineStr">
        <is>
          <t>BUREAU CENTRAL</t>
        </is>
      </c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</row>
    <row r="139" ht="21.75" customHeight="1" s="6">
      <c r="A139" s="135" t="inlineStr">
        <is>
          <t>TOTAL ZS TSHIBALA</t>
        </is>
      </c>
      <c r="B139" s="136" t="n"/>
      <c r="C139" s="137" t="n">
        <v>27</v>
      </c>
      <c r="D139" s="137">
        <f>SUM(D111:D138)</f>
        <v/>
      </c>
      <c r="E139" s="137">
        <f>SUM(E111:E138)</f>
        <v/>
      </c>
      <c r="F139" s="137">
        <f>SUM(F111:F138)</f>
        <v/>
      </c>
      <c r="G139" s="137">
        <f>SUM(G111:G138)</f>
        <v/>
      </c>
      <c r="H139" s="137">
        <f>SUM(H111:H138)</f>
        <v/>
      </c>
      <c r="I139" s="137">
        <f>SUM(I111:I138)</f>
        <v/>
      </c>
      <c r="J139" s="137">
        <f>SUM(J111:J138)</f>
        <v/>
      </c>
      <c r="K139" s="137">
        <f>SUM(K111:K138)</f>
        <v/>
      </c>
      <c r="L139" s="137">
        <f>SUM(L111:L138)</f>
        <v/>
      </c>
      <c r="M139" s="137">
        <f>SUM(M111:M138)</f>
        <v/>
      </c>
    </row>
    <row r="140" ht="21.75" customHeight="1" s="6">
      <c r="A140" s="7" t="inlineStr">
        <is>
          <t>LUIZA</t>
        </is>
      </c>
      <c r="B140" s="20" t="inlineStr">
        <is>
          <t>Yangala</t>
        </is>
      </c>
      <c r="C140" s="21" t="inlineStr">
        <is>
          <t>Celham</t>
        </is>
      </c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</row>
    <row r="141" ht="21.75" customHeight="1" s="6">
      <c r="A141" s="7" t="inlineStr">
        <is>
          <t>LUIZA</t>
        </is>
      </c>
      <c r="B141" s="20" t="inlineStr">
        <is>
          <t>Yangala</t>
        </is>
      </c>
      <c r="C141" s="21" t="inlineStr">
        <is>
          <t>Ingidi</t>
        </is>
      </c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</row>
    <row r="142" ht="21.75" customHeight="1" s="6">
      <c r="A142" s="7" t="inlineStr">
        <is>
          <t>LUIZA</t>
        </is>
      </c>
      <c r="B142" s="20" t="inlineStr">
        <is>
          <t>Yangala</t>
        </is>
      </c>
      <c r="C142" s="21" t="inlineStr">
        <is>
          <t>Kabuabua</t>
        </is>
      </c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</row>
    <row r="143" ht="21.75" customHeight="1" s="6">
      <c r="A143" s="7" t="inlineStr">
        <is>
          <t>LUIZA</t>
        </is>
      </c>
      <c r="B143" s="20" t="inlineStr">
        <is>
          <t>Yangala</t>
        </is>
      </c>
      <c r="C143" s="21" t="inlineStr">
        <is>
          <t>Kakuna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</row>
    <row r="144" ht="21.75" customHeight="1" s="6">
      <c r="A144" s="7" t="inlineStr">
        <is>
          <t>LUIZA</t>
        </is>
      </c>
      <c r="B144" s="20" t="inlineStr">
        <is>
          <t>Yangala</t>
        </is>
      </c>
      <c r="C144" s="21" t="inlineStr">
        <is>
          <t>Kaleka</t>
        </is>
      </c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</row>
    <row r="145" ht="21.75" customHeight="1" s="6">
      <c r="A145" s="7" t="inlineStr">
        <is>
          <t>LUIZA</t>
        </is>
      </c>
      <c r="B145" s="20" t="inlineStr">
        <is>
          <t>Yangala</t>
        </is>
      </c>
      <c r="C145" s="21" t="inlineStr">
        <is>
          <t>Kalenga Nganyi</t>
        </is>
      </c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</row>
    <row r="146" ht="21.75" customHeight="1" s="6">
      <c r="A146" s="7" t="inlineStr">
        <is>
          <t>LUIZA</t>
        </is>
      </c>
      <c r="B146" s="20" t="inlineStr">
        <is>
          <t>Yangala</t>
        </is>
      </c>
      <c r="C146" s="21" t="inlineStr">
        <is>
          <t>Kampilu</t>
        </is>
      </c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</row>
    <row r="147" ht="21.75" customHeight="1" s="6">
      <c r="A147" s="7" t="inlineStr">
        <is>
          <t>LUIZA</t>
        </is>
      </c>
      <c r="B147" s="20" t="inlineStr">
        <is>
          <t>Yangala</t>
        </is>
      </c>
      <c r="C147" s="21" t="inlineStr">
        <is>
          <t>Kamulolo</t>
        </is>
      </c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</row>
    <row r="148" ht="21.75" customHeight="1" s="6">
      <c r="A148" s="7" t="inlineStr">
        <is>
          <t>LUIZA</t>
        </is>
      </c>
      <c r="B148" s="20" t="inlineStr">
        <is>
          <t>Yangala</t>
        </is>
      </c>
      <c r="C148" s="21" t="inlineStr">
        <is>
          <t>Kashishi</t>
        </is>
      </c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</row>
    <row r="149" ht="21.75" customHeight="1" s="6">
      <c r="A149" s="7" t="inlineStr">
        <is>
          <t>LUIZA</t>
        </is>
      </c>
      <c r="B149" s="20" t="inlineStr">
        <is>
          <t>Yangala</t>
        </is>
      </c>
      <c r="C149" s="21" t="inlineStr">
        <is>
          <t>Kashita</t>
        </is>
      </c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</row>
    <row r="150" ht="21.75" customHeight="1" s="6">
      <c r="A150" s="7" t="inlineStr">
        <is>
          <t>LUIZA</t>
        </is>
      </c>
      <c r="B150" s="20" t="inlineStr">
        <is>
          <t>Yangala</t>
        </is>
      </c>
      <c r="C150" s="21" t="inlineStr">
        <is>
          <t>Keji Mukoko</t>
        </is>
      </c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</row>
    <row r="151" ht="21.75" customHeight="1" s="6">
      <c r="A151" s="7" t="inlineStr">
        <is>
          <t>LUIZA</t>
        </is>
      </c>
      <c r="B151" s="20" t="inlineStr">
        <is>
          <t>Yangala</t>
        </is>
      </c>
      <c r="C151" s="21" t="inlineStr">
        <is>
          <t>Lujiya</t>
        </is>
      </c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</row>
    <row r="152" ht="21.75" customHeight="1" s="6">
      <c r="A152" s="7" t="inlineStr">
        <is>
          <t>LUIZA</t>
        </is>
      </c>
      <c r="B152" s="20" t="inlineStr">
        <is>
          <t>Yangala</t>
        </is>
      </c>
      <c r="C152" s="21" t="inlineStr">
        <is>
          <t>Lula</t>
        </is>
      </c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</row>
    <row r="153" ht="21.75" customHeight="1" s="6">
      <c r="A153" s="7" t="inlineStr">
        <is>
          <t>LUIZA</t>
        </is>
      </c>
      <c r="B153" s="20" t="inlineStr">
        <is>
          <t>Yangala</t>
        </is>
      </c>
      <c r="C153" s="138" t="inlineStr">
        <is>
          <t>Lusona</t>
        </is>
      </c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</row>
    <row r="154" ht="21.75" customHeight="1" s="6">
      <c r="A154" s="7" t="inlineStr">
        <is>
          <t>LUIZA</t>
        </is>
      </c>
      <c r="B154" s="20" t="inlineStr">
        <is>
          <t>Yangala</t>
        </is>
      </c>
      <c r="C154" s="138" t="inlineStr">
        <is>
          <t>Masala</t>
        </is>
      </c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</row>
    <row r="155" ht="21.75" customHeight="1" s="6">
      <c r="A155" s="7" t="inlineStr">
        <is>
          <t>LUIZA</t>
        </is>
      </c>
      <c r="B155" s="20" t="inlineStr">
        <is>
          <t>Yangala</t>
        </is>
      </c>
      <c r="C155" s="138" t="inlineStr">
        <is>
          <t>Mbote</t>
        </is>
      </c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</row>
    <row r="156" ht="21.75" customHeight="1" s="6">
      <c r="A156" s="7" t="inlineStr">
        <is>
          <t>LUIZA</t>
        </is>
      </c>
      <c r="B156" s="20" t="inlineStr">
        <is>
          <t>Yangala</t>
        </is>
      </c>
      <c r="C156" s="138" t="inlineStr">
        <is>
          <t>Moero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</row>
    <row r="157" ht="21.75" customHeight="1" s="6">
      <c r="A157" s="7" t="inlineStr">
        <is>
          <t>LUIZA</t>
        </is>
      </c>
      <c r="B157" s="20" t="inlineStr">
        <is>
          <t>Yangala</t>
        </is>
      </c>
      <c r="C157" s="138" t="inlineStr">
        <is>
          <t>Mudima</t>
        </is>
      </c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</row>
    <row r="158" ht="21.75" customHeight="1" s="6">
      <c r="A158" s="7" t="inlineStr">
        <is>
          <t>LUIZA</t>
        </is>
      </c>
      <c r="B158" s="20" t="inlineStr">
        <is>
          <t>Yangala</t>
        </is>
      </c>
      <c r="C158" s="138" t="inlineStr">
        <is>
          <t>Musenene</t>
        </is>
      </c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</row>
    <row r="159" ht="21.75" customHeight="1" s="6">
      <c r="A159" s="7" t="inlineStr">
        <is>
          <t>LUIZA</t>
        </is>
      </c>
      <c r="B159" s="20" t="inlineStr">
        <is>
          <t>Yangala</t>
        </is>
      </c>
      <c r="C159" s="138" t="inlineStr">
        <is>
          <t>Nkuna</t>
        </is>
      </c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</row>
    <row r="160" ht="21.75" customHeight="1" s="6">
      <c r="A160" s="7" t="inlineStr">
        <is>
          <t>LUIZA</t>
        </is>
      </c>
      <c r="B160" s="20" t="inlineStr">
        <is>
          <t>Yangala</t>
        </is>
      </c>
      <c r="C160" s="138" t="inlineStr">
        <is>
          <t>Oyinda</t>
        </is>
      </c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</row>
    <row r="161" ht="21.75" customHeight="1" s="6">
      <c r="A161" s="7" t="inlineStr">
        <is>
          <t>LUIZA</t>
        </is>
      </c>
      <c r="B161" s="20" t="inlineStr">
        <is>
          <t>Yangala</t>
        </is>
      </c>
      <c r="C161" s="138" t="inlineStr">
        <is>
          <t>Tshibaka</t>
        </is>
      </c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</row>
    <row r="162" ht="21.75" customHeight="1" s="6">
      <c r="A162" s="7" t="inlineStr">
        <is>
          <t>LUIZA</t>
        </is>
      </c>
      <c r="B162" s="20" t="inlineStr">
        <is>
          <t>Yangala</t>
        </is>
      </c>
      <c r="C162" s="138" t="inlineStr">
        <is>
          <t>Tshibila</t>
        </is>
      </c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</row>
    <row r="163" ht="21.75" customHeight="1" s="6">
      <c r="A163" s="7" t="inlineStr">
        <is>
          <t>LUIZA</t>
        </is>
      </c>
      <c r="B163" s="20" t="inlineStr">
        <is>
          <t>Yangala</t>
        </is>
      </c>
      <c r="C163" s="138" t="inlineStr">
        <is>
          <t>Tshikongo</t>
        </is>
      </c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</row>
    <row r="164" ht="21.75" customHeight="1" s="6">
      <c r="A164" s="7" t="inlineStr">
        <is>
          <t>LUIZA</t>
        </is>
      </c>
      <c r="B164" s="20" t="inlineStr">
        <is>
          <t>Yangala</t>
        </is>
      </c>
      <c r="C164" s="138" t="inlineStr">
        <is>
          <t>Tshiwayi</t>
        </is>
      </c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</row>
    <row r="165" ht="21.75" customHeight="1" s="6">
      <c r="A165" s="7" t="inlineStr">
        <is>
          <t>LUIZA</t>
        </is>
      </c>
      <c r="B165" s="20" t="inlineStr">
        <is>
          <t>Yangala</t>
        </is>
      </c>
      <c r="C165" s="138" t="inlineStr">
        <is>
          <t>Wizel</t>
        </is>
      </c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</row>
    <row r="166" ht="21.75" customHeight="1" s="6">
      <c r="A166" s="7" t="inlineStr">
        <is>
          <t>LUIZA</t>
        </is>
      </c>
      <c r="B166" s="20" t="inlineStr">
        <is>
          <t>Yangala</t>
        </is>
      </c>
      <c r="C166" s="138" t="inlineStr">
        <is>
          <t>Wizep</t>
        </is>
      </c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</row>
    <row r="167" ht="21.75" customHeight="1" s="6">
      <c r="A167" s="7" t="inlineStr">
        <is>
          <t>LUIZA</t>
        </is>
      </c>
      <c r="B167" s="20" t="inlineStr">
        <is>
          <t>Yangala</t>
        </is>
      </c>
      <c r="C167" s="138" t="inlineStr">
        <is>
          <t>Yangala</t>
        </is>
      </c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</row>
    <row r="168" ht="21.75" customHeight="1" s="6">
      <c r="A168" s="7" t="inlineStr">
        <is>
          <t>LUIZA</t>
        </is>
      </c>
      <c r="B168" s="20" t="inlineStr">
        <is>
          <t>Yangala</t>
        </is>
      </c>
      <c r="C168" s="138" t="inlineStr">
        <is>
          <t>Yao</t>
        </is>
      </c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</row>
    <row r="169" ht="21.75" customHeight="1" s="6">
      <c r="A169" s="7" t="inlineStr">
        <is>
          <t>LUIZA</t>
        </is>
      </c>
      <c r="B169" s="20" t="n"/>
      <c r="C169" s="138" t="inlineStr">
        <is>
          <t>BUREAU CENTRAL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</row>
    <row r="170" ht="21.75" customHeight="1" s="6">
      <c r="A170" s="135" t="inlineStr">
        <is>
          <t>TOTAL ZS YANGALA</t>
        </is>
      </c>
      <c r="B170" s="136" t="n"/>
      <c r="C170" s="139" t="n">
        <v>29</v>
      </c>
      <c r="D170" s="137">
        <f>SUM(D140:D169)</f>
        <v/>
      </c>
      <c r="E170" s="137">
        <f>SUM(E140:E169)</f>
        <v/>
      </c>
      <c r="F170" s="137">
        <f>SUM(F140:F169)</f>
        <v/>
      </c>
      <c r="G170" s="137">
        <f>SUM(G140:G169)</f>
        <v/>
      </c>
      <c r="H170" s="137">
        <f>SUM(H140:H169)</f>
        <v/>
      </c>
      <c r="I170" s="137">
        <f>SUM(I140:I169)</f>
        <v/>
      </c>
      <c r="J170" s="137">
        <f>SUM(J140:J169)</f>
        <v/>
      </c>
      <c r="K170" s="137">
        <f>SUM(K140:K169)</f>
        <v/>
      </c>
      <c r="L170" s="137">
        <f>SUM(L140:L169)</f>
        <v/>
      </c>
      <c r="M170" s="137">
        <f>SUM(M140:M169)</f>
        <v/>
      </c>
    </row>
    <row r="171" ht="21.75" customHeight="1" s="6">
      <c r="A171" s="140" t="inlineStr">
        <is>
          <t>TOTAL ANTENNE PEV LUIZA</t>
        </is>
      </c>
      <c r="B171" s="141" t="n"/>
      <c r="C171" s="142">
        <f>C35+C63+C85+C110+C139+C170</f>
        <v/>
      </c>
      <c r="D171" s="143">
        <f>D35+D63+D85+D110+D139+D170</f>
        <v/>
      </c>
      <c r="E171" s="143">
        <f>E35+E63+E85+E110+E139+E170</f>
        <v/>
      </c>
      <c r="F171" s="143">
        <f>F35+F63+F85+F110+F139+F170</f>
        <v/>
      </c>
      <c r="G171" s="143">
        <f>G35+G63+G85+G110+G139+G170</f>
        <v/>
      </c>
      <c r="H171" s="143">
        <f>H35+H63+H85+H110+H139+H170</f>
        <v/>
      </c>
      <c r="I171" s="143">
        <f>I35+I63+I85+I110+I139+I170</f>
        <v/>
      </c>
      <c r="J171" s="143">
        <f>J35+J63+J85+J110+J139+J170</f>
        <v/>
      </c>
      <c r="K171" s="143">
        <f>K35+K63+K85+K110+K139+K170</f>
        <v/>
      </c>
      <c r="L171" s="143">
        <f>L35+L63+L85+L110+L139+L170</f>
        <v/>
      </c>
      <c r="M171" s="143">
        <f>M35+M63+M85+M110+M139+M170</f>
        <v/>
      </c>
    </row>
    <row r="172" ht="21.75" customHeight="1" s="6">
      <c r="A172" s="7" t="n"/>
      <c r="B172" s="75" t="n"/>
      <c r="C172" s="78" t="n"/>
      <c r="D172" s="70" t="n"/>
      <c r="E172" s="71" t="n"/>
      <c r="F172" s="72" t="n"/>
      <c r="G172" s="71" t="n"/>
      <c r="H172" s="73" t="n"/>
      <c r="I172" s="73" t="n"/>
      <c r="J172" s="73" t="n"/>
      <c r="K172" s="74" t="n"/>
    </row>
    <row r="173" ht="21.75" customHeight="1" s="6">
      <c r="A173" s="7" t="n"/>
      <c r="B173" s="75" t="n"/>
      <c r="C173" s="78" t="n"/>
      <c r="D173" s="70" t="n"/>
      <c r="E173" s="71" t="n"/>
      <c r="F173" s="72" t="n"/>
      <c r="G173" s="71" t="n"/>
      <c r="H173" s="73" t="n"/>
      <c r="I173" s="73" t="n"/>
      <c r="J173" s="73" t="n"/>
      <c r="K173" s="74" t="n"/>
    </row>
    <row r="174" ht="21.75" customHeight="1" s="6">
      <c r="A174" s="7" t="n"/>
      <c r="B174" s="75" t="n"/>
      <c r="C174" s="78" t="n"/>
      <c r="D174" s="70" t="n"/>
      <c r="E174" s="71" t="n"/>
      <c r="F174" s="72" t="n"/>
      <c r="G174" s="71" t="n"/>
      <c r="H174" s="73" t="n"/>
      <c r="I174" s="73" t="n"/>
      <c r="J174" s="73" t="n"/>
      <c r="K174" s="74" t="n"/>
    </row>
    <row r="175" ht="21.75" customHeight="1" s="6">
      <c r="A175" s="7" t="n"/>
      <c r="B175" s="75" t="n"/>
      <c r="C175" s="78" t="n"/>
      <c r="D175" s="70" t="n"/>
      <c r="E175" s="71" t="n"/>
      <c r="F175" s="72" t="n"/>
      <c r="G175" s="71" t="n"/>
      <c r="H175" s="73" t="n"/>
      <c r="I175" s="73" t="n"/>
      <c r="J175" s="73" t="n"/>
      <c r="K175" s="74" t="n"/>
    </row>
    <row r="176" ht="21.75" customHeight="1" s="6">
      <c r="A176" s="7" t="n"/>
      <c r="B176" s="75" t="n"/>
      <c r="C176" s="78" t="n"/>
      <c r="D176" s="70" t="n"/>
      <c r="E176" s="71" t="n"/>
      <c r="F176" s="72" t="n"/>
      <c r="G176" s="71" t="n"/>
      <c r="H176" s="73" t="n"/>
      <c r="I176" s="73" t="n"/>
      <c r="J176" s="73" t="n"/>
      <c r="K176" s="74" t="n"/>
    </row>
    <row r="177" ht="21.75" customHeight="1" s="6">
      <c r="A177" s="7" t="n"/>
      <c r="B177" s="75" t="n"/>
      <c r="C177" s="78" t="n"/>
      <c r="D177" s="70" t="n"/>
      <c r="E177" s="71" t="n"/>
      <c r="F177" s="72" t="n"/>
      <c r="G177" s="71" t="n"/>
      <c r="H177" s="73" t="n"/>
      <c r="I177" s="73" t="n"/>
      <c r="J177" s="73" t="n"/>
      <c r="K177" s="74" t="n"/>
    </row>
    <row r="178" ht="21.75" customHeight="1" s="6">
      <c r="A178" s="144" t="n"/>
      <c r="C178" s="76" t="n"/>
      <c r="D178" s="77" t="n"/>
      <c r="E178" s="77" t="n"/>
      <c r="F178" s="77" t="n"/>
      <c r="G178" s="77" t="n"/>
      <c r="H178" s="77" t="n"/>
      <c r="I178" s="77" t="n"/>
      <c r="J178" s="77" t="n"/>
      <c r="K178" s="77" t="n"/>
    </row>
    <row r="179" ht="21.75" customHeight="1" s="6">
      <c r="A179" s="7" t="n"/>
      <c r="B179" s="20" t="n"/>
      <c r="C179" s="12" t="n"/>
      <c r="D179" s="8" t="n"/>
      <c r="E179" s="8" t="n"/>
      <c r="F179" s="9" t="n"/>
      <c r="G179" s="8" t="n"/>
      <c r="H179" s="38" t="n"/>
      <c r="I179" s="38" t="n"/>
      <c r="J179" s="38" t="n"/>
      <c r="K179" s="10" t="n"/>
    </row>
    <row r="180" ht="21.75" customHeight="1" s="6">
      <c r="A180" s="7" t="n"/>
      <c r="B180" s="20" t="n"/>
      <c r="C180" s="12" t="n"/>
      <c r="D180" s="8" t="n"/>
      <c r="E180" s="8" t="n"/>
      <c r="F180" s="9" t="n"/>
      <c r="G180" s="8" t="n"/>
      <c r="H180" s="38" t="n"/>
      <c r="I180" s="38" t="n"/>
      <c r="J180" s="38" t="n"/>
      <c r="K180" s="10" t="n"/>
    </row>
    <row r="181" ht="21.75" customHeight="1" s="6">
      <c r="A181" s="7" t="n"/>
      <c r="B181" s="20" t="n"/>
      <c r="C181" s="12" t="n"/>
      <c r="D181" s="8" t="n"/>
      <c r="E181" s="8" t="n"/>
      <c r="F181" s="9" t="n"/>
      <c r="G181" s="8" t="n"/>
      <c r="H181" s="38" t="n"/>
      <c r="I181" s="38" t="n"/>
      <c r="J181" s="38" t="n"/>
      <c r="K181" s="10" t="n"/>
    </row>
    <row r="182" ht="21.75" customHeight="1" s="6">
      <c r="A182" s="7" t="n"/>
      <c r="B182" s="20" t="n"/>
      <c r="C182" s="12" t="n"/>
      <c r="D182" s="8" t="n"/>
      <c r="E182" s="8" t="n"/>
      <c r="F182" s="9" t="n"/>
      <c r="G182" s="8" t="n"/>
      <c r="H182" s="38" t="n"/>
      <c r="I182" s="38" t="n"/>
      <c r="J182" s="38" t="n"/>
      <c r="K182" s="10" t="n"/>
    </row>
    <row r="183" ht="21.75" customHeight="1" s="6">
      <c r="A183" s="7" t="n"/>
      <c r="B183" s="20" t="n"/>
      <c r="C183" s="12" t="n"/>
      <c r="D183" s="8" t="n"/>
      <c r="E183" s="8" t="n"/>
      <c r="F183" s="9" t="n"/>
      <c r="G183" s="8" t="n"/>
      <c r="H183" s="38" t="n"/>
      <c r="I183" s="38" t="n"/>
      <c r="J183" s="38" t="n"/>
      <c r="K183" s="10" t="n"/>
    </row>
    <row r="184" ht="21.75" customHeight="1" s="6">
      <c r="A184" s="7" t="n"/>
      <c r="B184" s="20" t="n"/>
      <c r="C184" s="12" t="n"/>
      <c r="D184" s="8" t="n"/>
      <c r="E184" s="8" t="n"/>
      <c r="F184" s="9" t="n"/>
      <c r="G184" s="8" t="n"/>
      <c r="H184" s="38" t="n"/>
      <c r="I184" s="38" t="n"/>
      <c r="J184" s="38" t="n"/>
      <c r="K184" s="10" t="n"/>
    </row>
    <row r="185" ht="21.75" customHeight="1" s="6">
      <c r="A185" s="7" t="n"/>
      <c r="B185" s="20" t="n"/>
      <c r="C185" s="12" t="n"/>
      <c r="D185" s="8" t="n"/>
      <c r="E185" s="8" t="n"/>
      <c r="F185" s="9" t="n"/>
      <c r="G185" s="8" t="n"/>
      <c r="H185" s="38" t="n"/>
      <c r="I185" s="38" t="n"/>
      <c r="J185" s="38" t="n"/>
      <c r="K185" s="10" t="n"/>
    </row>
    <row r="186" ht="21.75" customHeight="1" s="6">
      <c r="A186" s="7" t="n"/>
      <c r="B186" s="20" t="n"/>
      <c r="C186" s="12" t="n"/>
      <c r="D186" s="8" t="n"/>
      <c r="E186" s="8" t="n"/>
      <c r="F186" s="9" t="n"/>
      <c r="G186" s="8" t="n"/>
      <c r="H186" s="38" t="n"/>
      <c r="I186" s="38" t="n"/>
      <c r="J186" s="38" t="n"/>
      <c r="K186" s="10" t="n"/>
    </row>
    <row r="187" ht="21.75" customHeight="1" s="6">
      <c r="A187" s="7" t="n"/>
      <c r="B187" s="20" t="n"/>
      <c r="C187" s="12" t="n"/>
      <c r="D187" s="8" t="n"/>
      <c r="E187" s="8" t="n"/>
      <c r="F187" s="9" t="n"/>
      <c r="G187" s="8" t="n"/>
      <c r="H187" s="38" t="n"/>
      <c r="I187" s="38" t="n"/>
      <c r="J187" s="38" t="n"/>
      <c r="K187" s="10" t="n"/>
    </row>
    <row r="188" ht="21.75" customHeight="1" s="6">
      <c r="A188" s="7" t="n"/>
      <c r="B188" s="20" t="n"/>
      <c r="C188" s="12" t="n"/>
      <c r="D188" s="8" t="n"/>
      <c r="E188" s="8" t="n"/>
      <c r="F188" s="9" t="n"/>
      <c r="G188" s="8" t="n"/>
      <c r="H188" s="38" t="n"/>
      <c r="I188" s="38" t="n"/>
      <c r="J188" s="38" t="n"/>
      <c r="K188" s="10" t="n"/>
    </row>
    <row r="189" ht="21.75" customHeight="1" s="6">
      <c r="A189" s="7" t="n"/>
      <c r="B189" s="20" t="n"/>
      <c r="C189" s="12" t="n"/>
      <c r="D189" s="8" t="n"/>
      <c r="E189" s="8" t="n"/>
      <c r="F189" s="9" t="n"/>
      <c r="G189" s="11" t="n"/>
      <c r="H189" s="38" t="n"/>
      <c r="I189" s="38" t="n"/>
      <c r="J189" s="38" t="n"/>
      <c r="K189" s="10" t="n"/>
    </row>
    <row r="190" ht="21.75" customHeight="1" s="6">
      <c r="A190" s="7" t="n"/>
      <c r="B190" s="20" t="n"/>
      <c r="C190" s="12" t="n"/>
      <c r="D190" s="8" t="n"/>
      <c r="E190" s="8" t="n"/>
      <c r="F190" s="9" t="n"/>
      <c r="G190" s="8" t="n"/>
      <c r="H190" s="38" t="n"/>
      <c r="I190" s="38" t="n"/>
      <c r="J190" s="38" t="n"/>
      <c r="K190" s="10" t="n"/>
    </row>
    <row r="191" ht="21.75" customHeight="1" s="6">
      <c r="A191" s="7" t="n"/>
      <c r="B191" s="20" t="n"/>
      <c r="C191" s="12" t="n"/>
      <c r="D191" s="8" t="n"/>
      <c r="E191" s="8" t="n"/>
      <c r="F191" s="9" t="n"/>
      <c r="G191" s="8" t="n"/>
      <c r="H191" s="38" t="n"/>
      <c r="I191" s="38" t="n"/>
      <c r="J191" s="38" t="n"/>
      <c r="K191" s="10" t="n"/>
    </row>
    <row r="192" ht="21.75" customHeight="1" s="6">
      <c r="A192" s="7" t="n"/>
      <c r="B192" s="20" t="n"/>
      <c r="C192" s="12" t="n"/>
      <c r="D192" s="8" t="n"/>
      <c r="E192" s="8" t="n"/>
      <c r="F192" s="9" t="n"/>
      <c r="G192" s="8" t="n"/>
      <c r="H192" s="38" t="n"/>
      <c r="I192" s="38" t="n"/>
      <c r="J192" s="38" t="n"/>
      <c r="K192" s="10" t="n"/>
    </row>
    <row r="193" ht="21.75" customHeight="1" s="6">
      <c r="A193" s="7" t="n"/>
      <c r="B193" s="20" t="n"/>
      <c r="C193" s="12" t="n"/>
      <c r="D193" s="8" t="n"/>
      <c r="E193" s="8" t="n"/>
      <c r="F193" s="9" t="n"/>
      <c r="G193" s="8" t="n"/>
      <c r="H193" s="38" t="n"/>
      <c r="I193" s="38" t="n"/>
      <c r="J193" s="38" t="n"/>
      <c r="K193" s="10" t="n"/>
    </row>
    <row r="194" ht="21.75" customHeight="1" s="6">
      <c r="A194" s="7" t="n"/>
      <c r="B194" s="20" t="n"/>
      <c r="C194" s="12" t="n"/>
      <c r="D194" s="8" t="n"/>
      <c r="E194" s="8" t="n"/>
      <c r="F194" s="9" t="n"/>
      <c r="G194" s="8" t="n"/>
      <c r="H194" s="38" t="n"/>
      <c r="I194" s="38" t="n"/>
      <c r="J194" s="38" t="n"/>
      <c r="K194" s="10" t="n"/>
    </row>
    <row r="195" ht="21.75" customHeight="1" s="6">
      <c r="A195" s="7" t="n"/>
      <c r="B195" s="20" t="n"/>
      <c r="C195" s="12" t="n"/>
      <c r="D195" s="8" t="n"/>
      <c r="E195" s="8" t="n"/>
      <c r="F195" s="9" t="n"/>
      <c r="G195" s="8" t="n"/>
      <c r="H195" s="38" t="n"/>
      <c r="I195" s="38" t="n"/>
      <c r="J195" s="38" t="n"/>
      <c r="K195" s="10" t="n"/>
    </row>
    <row r="196" ht="21.75" customHeight="1" s="6">
      <c r="A196" s="7" t="n"/>
      <c r="B196" s="20" t="n"/>
      <c r="C196" s="12" t="n"/>
      <c r="D196" s="8" t="n"/>
      <c r="E196" s="8" t="n"/>
      <c r="F196" s="9" t="n"/>
      <c r="G196" s="8" t="n"/>
      <c r="H196" s="38" t="n"/>
      <c r="I196" s="38" t="n"/>
      <c r="J196" s="38" t="n"/>
      <c r="K196" s="10" t="n"/>
    </row>
    <row r="197" ht="21.75" customHeight="1" s="6">
      <c r="A197" s="7" t="n"/>
      <c r="B197" s="20" t="n"/>
      <c r="C197" s="12" t="n"/>
      <c r="D197" s="8" t="n"/>
      <c r="E197" s="8" t="n"/>
      <c r="F197" s="9" t="n"/>
      <c r="G197" s="8" t="n"/>
      <c r="H197" s="38" t="n"/>
      <c r="I197" s="38" t="n"/>
      <c r="J197" s="38" t="n"/>
      <c r="K197" s="10" t="n"/>
    </row>
    <row r="198" ht="21.75" customHeight="1" s="6">
      <c r="A198" s="7" t="n"/>
      <c r="B198" s="20" t="n"/>
      <c r="C198" s="12" t="n"/>
      <c r="D198" s="8" t="n"/>
      <c r="E198" s="8" t="n"/>
      <c r="F198" s="9" t="n"/>
      <c r="G198" s="8" t="n"/>
      <c r="H198" s="38" t="n"/>
      <c r="I198" s="38" t="n"/>
      <c r="J198" s="38" t="n"/>
      <c r="K198" s="10" t="n"/>
    </row>
    <row r="199" ht="21.75" customHeight="1" s="6">
      <c r="A199" s="7" t="n"/>
      <c r="B199" s="20" t="n"/>
      <c r="C199" s="12" t="n"/>
      <c r="D199" s="8" t="n"/>
      <c r="E199" s="8" t="n"/>
      <c r="F199" s="9" t="n"/>
      <c r="G199" s="8" t="n"/>
      <c r="H199" s="38" t="n"/>
      <c r="I199" s="38" t="n"/>
      <c r="J199" s="38" t="n"/>
      <c r="K199" s="10" t="n"/>
    </row>
    <row r="200" ht="21.75" customHeight="1" s="6">
      <c r="A200" s="7" t="n"/>
      <c r="B200" s="20" t="n"/>
      <c r="C200" s="12" t="n"/>
      <c r="D200" s="8" t="n"/>
      <c r="E200" s="8" t="n"/>
      <c r="F200" s="9" t="n"/>
      <c r="G200" s="8" t="n"/>
      <c r="H200" s="38" t="n"/>
      <c r="I200" s="38" t="n"/>
      <c r="J200" s="38" t="n"/>
      <c r="K200" s="10" t="n"/>
    </row>
    <row r="201" ht="21.75" customHeight="1" s="6" thickBot="1">
      <c r="A201" s="7" t="n"/>
      <c r="B201" s="20" t="n"/>
      <c r="C201" s="12" t="n"/>
      <c r="D201" s="8" t="n"/>
      <c r="E201" s="8" t="n"/>
      <c r="F201" s="9" t="n"/>
      <c r="G201" s="8" t="n"/>
      <c r="H201" s="38" t="n"/>
      <c r="I201" s="38" t="n"/>
      <c r="J201" s="38" t="n"/>
      <c r="K201" s="10" t="n"/>
    </row>
    <row r="202" ht="21.75" customHeight="1" s="6" thickBot="1">
      <c r="A202" s="145" t="n"/>
      <c r="C202" s="79" t="n"/>
      <c r="D202" s="40" t="n"/>
      <c r="E202" s="40" t="n"/>
      <c r="F202" s="40" t="n"/>
      <c r="G202" s="40" t="n"/>
      <c r="H202" s="40" t="n"/>
      <c r="I202" s="40" t="n"/>
      <c r="J202" s="40" t="n"/>
      <c r="K202" s="40" t="n"/>
    </row>
    <row r="203" ht="21.75" customHeight="1" s="6">
      <c r="A203" s="7" t="n"/>
      <c r="B203" s="88" t="n"/>
      <c r="C203" s="89" t="n"/>
      <c r="D203" s="55" t="n"/>
      <c r="E203" s="90" t="n"/>
      <c r="F203" s="72" t="n"/>
      <c r="G203" s="71" t="n"/>
      <c r="H203" s="91" t="n"/>
      <c r="I203" s="91" t="n"/>
      <c r="J203" s="91" t="n"/>
      <c r="K203" s="90" t="n"/>
    </row>
    <row r="204" ht="21.75" customHeight="1" s="6">
      <c r="A204" s="7" t="n"/>
      <c r="B204" s="88" t="n"/>
      <c r="C204" s="89" t="n"/>
      <c r="D204" s="55" t="n"/>
      <c r="E204" s="90" t="n"/>
      <c r="F204" s="72" t="n"/>
      <c r="G204" s="71" t="n"/>
      <c r="H204" s="91" t="n"/>
      <c r="I204" s="91" t="n"/>
      <c r="J204" s="91" t="n"/>
      <c r="K204" s="90" t="n"/>
    </row>
    <row r="205" ht="21.75" customFormat="1" customHeight="1" s="19">
      <c r="A205" s="7" t="n"/>
      <c r="B205" s="88" t="n"/>
      <c r="C205" s="89" t="n"/>
      <c r="D205" s="55" t="n"/>
      <c r="E205" s="71" t="n"/>
      <c r="F205" s="72" t="n"/>
      <c r="G205" s="71" t="n"/>
      <c r="H205" s="91" t="n"/>
      <c r="I205" s="91" t="n"/>
      <c r="J205" s="91" t="n"/>
      <c r="K205" s="90" t="n"/>
    </row>
    <row r="206" ht="21.75" customFormat="1" customHeight="1" s="19">
      <c r="A206" s="7" t="n"/>
      <c r="B206" s="88" t="n"/>
      <c r="C206" s="89" t="n"/>
      <c r="D206" s="55" t="n"/>
      <c r="E206" s="90" t="n"/>
      <c r="F206" s="72" t="n"/>
      <c r="G206" s="71" t="n"/>
      <c r="H206" s="91" t="n"/>
      <c r="I206" s="91" t="n"/>
      <c r="J206" s="91" t="n"/>
      <c r="K206" s="90" t="n"/>
    </row>
    <row r="207" ht="21.75" customFormat="1" customHeight="1" s="19">
      <c r="A207" s="7" t="n"/>
      <c r="B207" s="88" t="n"/>
      <c r="C207" s="89" t="n"/>
      <c r="D207" s="55" t="n"/>
      <c r="E207" s="90" t="n"/>
      <c r="F207" s="72" t="n"/>
      <c r="G207" s="71" t="n"/>
      <c r="H207" s="91" t="n"/>
      <c r="I207" s="91" t="n"/>
      <c r="J207" s="91" t="n"/>
      <c r="K207" s="90" t="n"/>
    </row>
    <row r="208" ht="21.75" customFormat="1" customHeight="1" s="19">
      <c r="A208" s="7" t="n"/>
      <c r="B208" s="88" t="n"/>
      <c r="C208" s="89" t="n"/>
      <c r="D208" s="55" t="n"/>
      <c r="E208" s="90" t="n"/>
      <c r="F208" s="72" t="n"/>
      <c r="G208" s="71" t="n"/>
      <c r="H208" s="91" t="n"/>
      <c r="I208" s="91" t="n"/>
      <c r="J208" s="91" t="n"/>
      <c r="K208" s="90" t="n"/>
    </row>
    <row r="209" ht="21.75" customFormat="1" customHeight="1" s="19">
      <c r="A209" s="7" t="n"/>
      <c r="B209" s="88" t="n"/>
      <c r="C209" s="89" t="n"/>
      <c r="D209" s="55" t="n"/>
      <c r="E209" s="90" t="n"/>
      <c r="F209" s="72" t="n"/>
      <c r="G209" s="71" t="n"/>
      <c r="H209" s="91" t="n"/>
      <c r="I209" s="91" t="n"/>
      <c r="J209" s="91" t="n"/>
      <c r="K209" s="90" t="n"/>
    </row>
    <row r="210" ht="21.75" customFormat="1" customHeight="1" s="19">
      <c r="A210" s="7" t="n"/>
      <c r="B210" s="88" t="n"/>
      <c r="C210" s="89" t="n"/>
      <c r="D210" s="55" t="n"/>
      <c r="E210" s="90" t="n"/>
      <c r="F210" s="72" t="n"/>
      <c r="G210" s="71" t="n"/>
      <c r="H210" s="91" t="n"/>
      <c r="I210" s="91" t="n"/>
      <c r="J210" s="91" t="n"/>
      <c r="K210" s="90" t="n"/>
    </row>
    <row r="211" ht="21.75" customFormat="1" customHeight="1" s="19">
      <c r="A211" s="7" t="n"/>
      <c r="B211" s="88" t="n"/>
      <c r="C211" s="89" t="n"/>
      <c r="D211" s="55" t="n"/>
      <c r="E211" s="90" t="n"/>
      <c r="F211" s="72" t="n"/>
      <c r="G211" s="71" t="n"/>
      <c r="H211" s="91" t="n"/>
      <c r="I211" s="91" t="n"/>
      <c r="J211" s="91" t="n"/>
      <c r="K211" s="90" t="n"/>
    </row>
    <row r="212" ht="21.75" customFormat="1" customHeight="1" s="19">
      <c r="A212" s="7" t="n"/>
      <c r="B212" s="88" t="n"/>
      <c r="C212" s="89" t="n"/>
      <c r="D212" s="55" t="n"/>
      <c r="E212" s="71" t="n"/>
      <c r="F212" s="72" t="n"/>
      <c r="G212" s="71" t="n"/>
      <c r="H212" s="91" t="n"/>
      <c r="I212" s="91" t="n"/>
      <c r="J212" s="91" t="n"/>
      <c r="K212" s="90" t="n"/>
    </row>
    <row r="213" ht="21.75" customFormat="1" customHeight="1" s="19">
      <c r="A213" s="7" t="n"/>
      <c r="B213" s="88" t="n"/>
      <c r="C213" s="89" t="n"/>
      <c r="D213" s="55" t="n"/>
      <c r="E213" s="90" t="n"/>
      <c r="F213" s="72" t="n"/>
      <c r="G213" s="71" t="n"/>
      <c r="H213" s="91" t="n"/>
      <c r="I213" s="91" t="n"/>
      <c r="J213" s="91" t="n"/>
      <c r="K213" s="90" t="n"/>
    </row>
    <row r="214" ht="21.75" customFormat="1" customHeight="1" s="19">
      <c r="A214" s="7" t="n"/>
      <c r="B214" s="88" t="n"/>
      <c r="C214" s="89" t="n"/>
      <c r="D214" s="55" t="n"/>
      <c r="E214" s="90" t="n"/>
      <c r="F214" s="72" t="n"/>
      <c r="G214" s="71" t="n"/>
      <c r="H214" s="91" t="n"/>
      <c r="I214" s="91" t="n"/>
      <c r="J214" s="91" t="n"/>
      <c r="K214" s="90" t="n"/>
    </row>
    <row r="215" ht="21.75" customFormat="1" customHeight="1" s="19">
      <c r="A215" s="7" t="n"/>
      <c r="B215" s="88" t="n"/>
      <c r="C215" s="89" t="n"/>
      <c r="D215" s="55" t="n"/>
      <c r="E215" s="90" t="n"/>
      <c r="F215" s="72" t="n"/>
      <c r="G215" s="71" t="n"/>
      <c r="H215" s="91" t="n"/>
      <c r="I215" s="91" t="n"/>
      <c r="J215" s="91" t="n"/>
      <c r="K215" s="90" t="n"/>
    </row>
    <row r="216" ht="21.75" customFormat="1" customHeight="1" s="19">
      <c r="A216" s="7" t="n"/>
      <c r="B216" s="88" t="n"/>
      <c r="C216" s="89" t="n"/>
      <c r="D216" s="55" t="n"/>
      <c r="E216" s="90" t="n"/>
      <c r="F216" s="72" t="n"/>
      <c r="G216" s="71" t="n"/>
      <c r="H216" s="91" t="n"/>
      <c r="I216" s="91" t="n"/>
      <c r="J216" s="91" t="n"/>
      <c r="K216" s="90" t="n"/>
    </row>
    <row r="217" ht="21.75" customFormat="1" customHeight="1" s="19">
      <c r="A217" s="7" t="n"/>
      <c r="B217" s="88" t="n"/>
      <c r="C217" s="89" t="n"/>
      <c r="D217" s="55" t="n"/>
      <c r="E217" s="90" t="n"/>
      <c r="F217" s="72" t="n"/>
      <c r="G217" s="71" t="n"/>
      <c r="H217" s="91" t="n"/>
      <c r="I217" s="91" t="n"/>
      <c r="J217" s="91" t="n"/>
      <c r="K217" s="90" t="n"/>
    </row>
    <row r="218" ht="21.75" customFormat="1" customHeight="1" s="19">
      <c r="A218" s="7" t="n"/>
      <c r="B218" s="88" t="n"/>
      <c r="C218" s="89" t="n"/>
      <c r="D218" s="55" t="n"/>
      <c r="E218" s="90" t="n"/>
      <c r="F218" s="72" t="n"/>
      <c r="G218" s="71" t="n"/>
      <c r="H218" s="91" t="n"/>
      <c r="I218" s="91" t="n"/>
      <c r="J218" s="91" t="n"/>
      <c r="K218" s="90" t="n"/>
    </row>
    <row r="219" ht="21.75" customFormat="1" customHeight="1" s="19">
      <c r="A219" s="7" t="n"/>
      <c r="B219" s="88" t="n"/>
      <c r="C219" s="89" t="n"/>
      <c r="D219" s="55" t="n"/>
      <c r="E219" s="90" t="n"/>
      <c r="F219" s="72" t="n"/>
      <c r="G219" s="71" t="n"/>
      <c r="H219" s="91" t="n"/>
      <c r="I219" s="91" t="n"/>
      <c r="J219" s="91" t="n"/>
      <c r="K219" s="90" t="n"/>
    </row>
    <row r="220" ht="21.75" customFormat="1" customHeight="1" s="19">
      <c r="A220" s="7" t="n"/>
      <c r="B220" s="88" t="n"/>
      <c r="C220" s="89" t="n"/>
      <c r="D220" s="55" t="n"/>
      <c r="E220" s="90" t="n"/>
      <c r="F220" s="72" t="n"/>
      <c r="G220" s="71" t="n"/>
      <c r="H220" s="91" t="n"/>
      <c r="I220" s="91" t="n"/>
      <c r="J220" s="91" t="n"/>
      <c r="K220" s="90" t="n"/>
    </row>
    <row r="221" ht="21.75" customFormat="1" customHeight="1" s="19">
      <c r="A221" s="7" t="n"/>
      <c r="B221" s="88" t="n"/>
      <c r="C221" s="89" t="n"/>
      <c r="D221" s="55" t="n"/>
      <c r="E221" s="71" t="n"/>
      <c r="F221" s="72" t="n"/>
      <c r="G221" s="71" t="n"/>
      <c r="H221" s="91" t="n"/>
      <c r="I221" s="91" t="n"/>
      <c r="J221" s="91" t="n"/>
      <c r="K221" s="90" t="n"/>
    </row>
    <row r="222" ht="21.75" customFormat="1" customHeight="1" s="19">
      <c r="A222" s="7" t="n"/>
      <c r="B222" s="88" t="n"/>
      <c r="C222" s="89" t="n"/>
      <c r="D222" s="55" t="n"/>
      <c r="E222" s="90" t="n"/>
      <c r="F222" s="72" t="n"/>
      <c r="G222" s="56" t="n"/>
      <c r="H222" s="91" t="n"/>
      <c r="I222" s="91" t="n"/>
      <c r="J222" s="91" t="n"/>
      <c r="K222" s="90" t="n"/>
    </row>
    <row r="223" ht="21.75" customFormat="1" customHeight="1" s="19">
      <c r="A223" s="7" t="n"/>
      <c r="B223" s="88" t="n"/>
      <c r="C223" s="89" t="n"/>
      <c r="D223" s="55" t="n"/>
      <c r="E223" s="90" t="n"/>
      <c r="F223" s="72" t="n"/>
      <c r="G223" s="56" t="n"/>
      <c r="H223" s="91" t="n"/>
      <c r="I223" s="91" t="n"/>
      <c r="J223" s="91" t="n"/>
      <c r="K223" s="90" t="n"/>
    </row>
    <row r="224" ht="21.75" customFormat="1" customHeight="1" s="19">
      <c r="A224" s="7" t="n"/>
      <c r="B224" s="88" t="n"/>
      <c r="C224" s="89" t="n"/>
      <c r="D224" s="55" t="n"/>
      <c r="E224" s="90" t="n"/>
      <c r="F224" s="72" t="n"/>
      <c r="G224" s="56" t="n"/>
      <c r="H224" s="91" t="n"/>
      <c r="I224" s="91" t="n"/>
      <c r="J224" s="91" t="n"/>
      <c r="K224" s="90" t="n"/>
    </row>
    <row r="225" ht="21.75" customFormat="1" customHeight="1" s="19">
      <c r="A225" s="7" t="n"/>
      <c r="B225" s="88" t="n"/>
      <c r="C225" s="89" t="n"/>
      <c r="D225" s="55" t="n"/>
      <c r="E225" s="56" t="n"/>
      <c r="F225" s="72" t="n"/>
      <c r="G225" s="56" t="n"/>
      <c r="H225" s="91" t="n"/>
      <c r="I225" s="91" t="n"/>
      <c r="J225" s="91" t="n"/>
      <c r="K225" s="90" t="n"/>
    </row>
    <row r="226" ht="21.75" customFormat="1" customHeight="1" s="19">
      <c r="A226" s="7" t="n"/>
      <c r="B226" s="88" t="n"/>
      <c r="C226" s="89" t="n"/>
      <c r="D226" s="55" t="n"/>
      <c r="E226" s="90" t="n"/>
      <c r="F226" s="72" t="n"/>
      <c r="G226" s="56" t="n"/>
      <c r="H226" s="91" t="n"/>
      <c r="I226" s="91" t="n"/>
      <c r="J226" s="91" t="n"/>
      <c r="K226" s="90" t="n"/>
    </row>
    <row r="227" ht="21.75" customFormat="1" customHeight="1" s="19">
      <c r="A227" s="7" t="n"/>
      <c r="B227" s="88" t="n"/>
      <c r="C227" s="89" t="n"/>
      <c r="D227" s="55" t="n"/>
      <c r="E227" s="90" t="n"/>
      <c r="F227" s="72" t="n"/>
      <c r="G227" s="56" t="n"/>
      <c r="H227" s="91" t="n"/>
      <c r="I227" s="91" t="n"/>
      <c r="J227" s="91" t="n"/>
      <c r="K227" s="90" t="n"/>
    </row>
    <row r="228" ht="21.75" customFormat="1" customHeight="1" s="19">
      <c r="A228" s="7" t="n"/>
      <c r="B228" s="88" t="n"/>
      <c r="C228" s="89" t="n"/>
      <c r="D228" s="55" t="n"/>
      <c r="E228" s="56" t="n"/>
      <c r="F228" s="72" t="n"/>
      <c r="G228" s="56" t="n"/>
      <c r="H228" s="91" t="n"/>
      <c r="I228" s="91" t="n"/>
      <c r="J228" s="91" t="n"/>
      <c r="K228" s="90" t="n"/>
    </row>
    <row r="229" ht="21.75" customFormat="1" customHeight="1" s="19">
      <c r="A229" s="7" t="n"/>
      <c r="B229" s="88" t="n"/>
      <c r="C229" s="89" t="n"/>
      <c r="D229" s="55" t="n"/>
      <c r="E229" s="90" t="n"/>
      <c r="F229" s="72" t="n"/>
      <c r="G229" s="56" t="n"/>
      <c r="H229" s="91" t="n"/>
      <c r="I229" s="91" t="n"/>
      <c r="J229" s="91" t="n"/>
      <c r="K229" s="90" t="n"/>
    </row>
    <row r="230" ht="21.75" customFormat="1" customHeight="1" s="19">
      <c r="A230" s="7" t="n"/>
      <c r="B230" s="88" t="n"/>
      <c r="C230" s="89" t="n"/>
      <c r="D230" s="55" t="n"/>
      <c r="E230" s="90" t="n"/>
      <c r="F230" s="72" t="n"/>
      <c r="G230" s="56" t="n"/>
      <c r="H230" s="91" t="n"/>
      <c r="I230" s="91" t="n"/>
      <c r="J230" s="91" t="n"/>
      <c r="K230" s="90" t="n"/>
    </row>
    <row r="231" ht="21.75" customFormat="1" customHeight="1" s="19">
      <c r="A231" s="7" t="n"/>
      <c r="B231" s="88" t="n"/>
      <c r="C231" s="89" t="n"/>
      <c r="D231" s="55" t="n"/>
      <c r="E231" s="90" t="n"/>
      <c r="F231" s="72" t="n"/>
      <c r="G231" s="56" t="n"/>
      <c r="H231" s="91" t="n"/>
      <c r="I231" s="91" t="n"/>
      <c r="J231" s="91" t="n"/>
      <c r="K231" s="90" t="n"/>
    </row>
    <row r="232" ht="21.75" customFormat="1" customHeight="1" s="19">
      <c r="A232" s="7" t="n"/>
      <c r="B232" s="88" t="n"/>
      <c r="C232" s="89" t="n"/>
      <c r="D232" s="55" t="n"/>
      <c r="E232" s="90" t="n"/>
      <c r="F232" s="72" t="n"/>
      <c r="G232" s="56" t="n"/>
      <c r="H232" s="91" t="n"/>
      <c r="I232" s="91" t="n"/>
      <c r="J232" s="91" t="n"/>
      <c r="K232" s="90" t="n"/>
    </row>
    <row r="233" ht="21.75" customFormat="1" customHeight="1" s="19">
      <c r="A233" s="7" t="n"/>
      <c r="B233" s="88" t="n"/>
      <c r="C233" s="89" t="n"/>
      <c r="D233" s="55" t="n"/>
      <c r="E233" s="90" t="n"/>
      <c r="F233" s="72" t="n"/>
      <c r="G233" s="56" t="n"/>
      <c r="H233" s="91" t="n"/>
      <c r="I233" s="91" t="n"/>
      <c r="J233" s="91" t="n"/>
      <c r="K233" s="90" t="n"/>
    </row>
    <row r="234" ht="21.75" customFormat="1" customHeight="1" s="19">
      <c r="A234" s="7" t="n"/>
      <c r="B234" s="88" t="n"/>
      <c r="C234" s="89" t="n"/>
      <c r="D234" s="55" t="n"/>
      <c r="E234" s="90" t="n"/>
      <c r="F234" s="72" t="n"/>
      <c r="G234" s="56" t="n"/>
      <c r="H234" s="91" t="n"/>
      <c r="I234" s="91" t="n"/>
      <c r="J234" s="91" t="n"/>
      <c r="K234" s="90" t="n"/>
    </row>
    <row r="235" ht="21.75" customFormat="1" customHeight="1" s="19">
      <c r="A235" s="7" t="n"/>
      <c r="B235" s="88" t="n"/>
      <c r="C235" s="89" t="n"/>
      <c r="D235" s="55" t="n"/>
      <c r="E235" s="90" t="n"/>
      <c r="F235" s="72" t="n"/>
      <c r="G235" s="56" t="n"/>
      <c r="H235" s="91" t="n"/>
      <c r="I235" s="91" t="n"/>
      <c r="J235" s="91" t="n"/>
      <c r="K235" s="90" t="n"/>
    </row>
    <row r="236" ht="21.75" customFormat="1" customHeight="1" s="19">
      <c r="A236" s="7" t="n"/>
      <c r="B236" s="88" t="n"/>
      <c r="C236" s="89" t="n"/>
      <c r="D236" s="55" t="n"/>
      <c r="E236" s="90" t="n"/>
      <c r="F236" s="72" t="n"/>
      <c r="G236" s="55" t="n"/>
      <c r="H236" s="91" t="n"/>
      <c r="I236" s="91" t="n"/>
      <c r="J236" s="91" t="n"/>
      <c r="K236" s="90" t="n"/>
    </row>
    <row r="237" ht="21.75" customFormat="1" customHeight="1" s="19" thickBot="1">
      <c r="A237" s="7" t="n"/>
      <c r="B237" s="39" t="n"/>
      <c r="C237" s="43" t="n"/>
      <c r="D237" s="80" t="n"/>
      <c r="E237" s="80" t="n"/>
      <c r="F237" s="32" t="n"/>
      <c r="G237" s="80" t="n"/>
      <c r="H237" s="81" t="n"/>
      <c r="I237" s="82" t="n"/>
      <c r="J237" s="81" t="n"/>
      <c r="K237" s="18" t="n"/>
    </row>
    <row r="238" ht="21.75" customFormat="1" customHeight="1" s="19">
      <c r="A238" s="7" t="n"/>
      <c r="B238" s="83" t="n"/>
      <c r="C238" s="84" t="n"/>
      <c r="D238" s="92" t="n"/>
      <c r="E238" s="92" t="n"/>
      <c r="F238" s="92" t="n"/>
      <c r="G238" s="92" t="n"/>
      <c r="H238" s="92" t="n"/>
      <c r="I238" s="92" t="n"/>
      <c r="J238" s="92" t="n"/>
      <c r="K238" s="92" t="n"/>
    </row>
    <row r="239" ht="21.75" customFormat="1" customHeight="1" s="19">
      <c r="A239" s="57" t="n"/>
      <c r="B239" s="20" t="n"/>
      <c r="C239" s="12" t="n"/>
      <c r="D239" s="31" t="n"/>
      <c r="E239" s="31" t="n"/>
      <c r="F239" s="9" t="n"/>
      <c r="G239" s="31" t="n"/>
      <c r="H239" s="38" t="n"/>
      <c r="I239" s="38" t="n"/>
      <c r="J239" s="38" t="n"/>
      <c r="K239" s="90" t="n"/>
    </row>
    <row r="240" ht="21.75" customFormat="1" customHeight="1" s="19">
      <c r="A240" s="57" t="n"/>
      <c r="B240" s="26" t="n"/>
      <c r="C240" s="12" t="n"/>
      <c r="D240" s="31" t="n"/>
      <c r="E240" s="31" t="n"/>
      <c r="F240" s="9" t="n"/>
      <c r="G240" s="31" t="n"/>
      <c r="H240" s="38" t="n"/>
      <c r="I240" s="38" t="n"/>
      <c r="J240" s="38" t="n"/>
      <c r="K240" s="90" t="n"/>
    </row>
    <row r="241" ht="21.75" customFormat="1" customHeight="1" s="19">
      <c r="A241" s="57" t="n"/>
      <c r="B241" s="29" t="n"/>
      <c r="C241" s="12" t="n"/>
      <c r="D241" s="31" t="n"/>
      <c r="E241" s="31" t="n"/>
      <c r="F241" s="9" t="n"/>
      <c r="G241" s="31" t="n"/>
      <c r="H241" s="38" t="n"/>
      <c r="I241" s="38" t="n"/>
      <c r="J241" s="38" t="n"/>
      <c r="K241" s="90" t="n"/>
    </row>
    <row r="242" ht="21.75" customFormat="1" customHeight="1" s="19">
      <c r="A242" s="57" t="n"/>
      <c r="B242" s="26" t="n"/>
      <c r="C242" s="12" t="n"/>
      <c r="D242" s="31" t="n"/>
      <c r="E242" s="31" t="n"/>
      <c r="F242" s="9" t="n"/>
      <c r="G242" s="31" t="n"/>
      <c r="H242" s="38" t="n"/>
      <c r="I242" s="38" t="n"/>
      <c r="J242" s="38" t="n"/>
      <c r="K242" s="90" t="n"/>
    </row>
    <row r="243" ht="21.75" customFormat="1" customHeight="1" s="19">
      <c r="A243" s="57" t="n"/>
      <c r="B243" s="29" t="n"/>
      <c r="C243" s="12" t="n"/>
      <c r="D243" s="31" t="n"/>
      <c r="E243" s="31" t="n"/>
      <c r="F243" s="9" t="n"/>
      <c r="G243" s="31" t="n"/>
      <c r="H243" s="38" t="n"/>
      <c r="I243" s="38" t="n"/>
      <c r="J243" s="38" t="n"/>
      <c r="K243" s="90" t="n"/>
    </row>
    <row r="244" ht="21.75" customFormat="1" customHeight="1" s="19">
      <c r="A244" s="57" t="n"/>
      <c r="B244" s="26" t="n"/>
      <c r="C244" s="12" t="n"/>
      <c r="D244" s="31" t="n"/>
      <c r="E244" s="31" t="n"/>
      <c r="F244" s="9" t="n"/>
      <c r="G244" s="31" t="n"/>
      <c r="H244" s="38" t="n"/>
      <c r="I244" s="38" t="n"/>
      <c r="J244" s="38" t="n"/>
      <c r="K244" s="90" t="n"/>
    </row>
    <row r="245" ht="21.75" customFormat="1" customHeight="1" s="19">
      <c r="A245" s="57" t="n"/>
      <c r="B245" s="29" t="n"/>
      <c r="C245" s="12" t="n"/>
      <c r="D245" s="31" t="n"/>
      <c r="E245" s="31" t="n"/>
      <c r="F245" s="9" t="n"/>
      <c r="G245" s="31" t="n"/>
      <c r="H245" s="38" t="n"/>
      <c r="I245" s="38" t="n"/>
      <c r="J245" s="38" t="n"/>
      <c r="K245" s="90" t="n"/>
    </row>
    <row r="246" ht="21.75" customFormat="1" customHeight="1" s="19">
      <c r="A246" s="57" t="n"/>
      <c r="B246" s="26" t="n"/>
      <c r="C246" s="12" t="n"/>
      <c r="D246" s="31" t="n"/>
      <c r="E246" s="31" t="n"/>
      <c r="F246" s="9" t="n"/>
      <c r="G246" s="31" t="n"/>
      <c r="H246" s="38" t="n"/>
      <c r="I246" s="38" t="n"/>
      <c r="J246" s="38" t="n"/>
      <c r="K246" s="90" t="n"/>
    </row>
    <row r="247" ht="21.75" customFormat="1" customHeight="1" s="19">
      <c r="A247" s="57" t="n"/>
      <c r="B247" s="29" t="n"/>
      <c r="C247" s="12" t="n"/>
      <c r="D247" s="31" t="n"/>
      <c r="E247" s="31" t="n"/>
      <c r="F247" s="9" t="n"/>
      <c r="G247" s="31" t="n"/>
      <c r="H247" s="38" t="n"/>
      <c r="I247" s="38" t="n"/>
      <c r="J247" s="38" t="n"/>
      <c r="K247" s="90" t="n"/>
    </row>
    <row r="248" ht="21.75" customFormat="1" customHeight="1" s="19">
      <c r="A248" s="57" t="n"/>
      <c r="B248" s="26" t="n"/>
      <c r="C248" s="12" t="n"/>
      <c r="D248" s="31" t="n"/>
      <c r="E248" s="31" t="n"/>
      <c r="F248" s="9" t="n"/>
      <c r="G248" s="31" t="n"/>
      <c r="H248" s="38" t="n"/>
      <c r="I248" s="38" t="n"/>
      <c r="J248" s="38" t="n"/>
      <c r="K248" s="90" t="n"/>
    </row>
    <row r="249" ht="21.75" customFormat="1" customHeight="1" s="19">
      <c r="A249" s="57" t="n"/>
      <c r="B249" s="29" t="n"/>
      <c r="C249" s="12" t="n"/>
      <c r="D249" s="31" t="n"/>
      <c r="E249" s="31" t="n"/>
      <c r="F249" s="9" t="n"/>
      <c r="G249" s="31" t="n"/>
      <c r="H249" s="38" t="n"/>
      <c r="I249" s="38" t="n"/>
      <c r="J249" s="38" t="n"/>
      <c r="K249" s="90" t="n"/>
    </row>
    <row r="250" ht="21.75" customFormat="1" customHeight="1" s="19">
      <c r="A250" s="57" t="n"/>
      <c r="B250" s="26" t="n"/>
      <c r="C250" s="12" t="n"/>
      <c r="D250" s="31" t="n"/>
      <c r="E250" s="31" t="n"/>
      <c r="F250" s="9" t="n"/>
      <c r="G250" s="31" t="n"/>
      <c r="H250" s="38" t="n"/>
      <c r="I250" s="38" t="n"/>
      <c r="J250" s="38" t="n"/>
      <c r="K250" s="90" t="n"/>
    </row>
    <row r="251" ht="21.75" customFormat="1" customHeight="1" s="19">
      <c r="A251" s="57" t="n"/>
      <c r="B251" s="29" t="n"/>
      <c r="C251" s="12" t="n"/>
      <c r="D251" s="31" t="n"/>
      <c r="E251" s="31" t="n"/>
      <c r="F251" s="9" t="n"/>
      <c r="G251" s="31" t="n"/>
      <c r="H251" s="38" t="n"/>
      <c r="I251" s="38" t="n"/>
      <c r="J251" s="38" t="n"/>
      <c r="K251" s="90" t="n"/>
    </row>
    <row r="252" ht="21.75" customFormat="1" customHeight="1" s="19">
      <c r="A252" s="57" t="n"/>
      <c r="B252" s="26" t="n"/>
      <c r="C252" s="12" t="n"/>
      <c r="D252" s="31" t="n"/>
      <c r="E252" s="31" t="n"/>
      <c r="F252" s="9" t="n"/>
      <c r="G252" s="31" t="n"/>
      <c r="H252" s="38" t="n"/>
      <c r="I252" s="38" t="n"/>
      <c r="J252" s="38" t="n"/>
      <c r="K252" s="90" t="n"/>
    </row>
    <row r="253" ht="21.75" customFormat="1" customHeight="1" s="19">
      <c r="A253" s="57" t="n"/>
      <c r="B253" s="29" t="n"/>
      <c r="C253" s="12" t="n"/>
      <c r="D253" s="31" t="n"/>
      <c r="E253" s="31" t="n"/>
      <c r="F253" s="9" t="n"/>
      <c r="G253" s="31" t="n"/>
      <c r="H253" s="38" t="n"/>
      <c r="I253" s="38" t="n"/>
      <c r="J253" s="38" t="n"/>
      <c r="K253" s="90" t="n"/>
    </row>
    <row r="254" ht="21.75" customFormat="1" customHeight="1" s="19">
      <c r="A254" s="57" t="n"/>
      <c r="B254" s="26" t="n"/>
      <c r="C254" s="12" t="n"/>
      <c r="D254" s="31" t="n"/>
      <c r="E254" s="31" t="n"/>
      <c r="F254" s="9" t="n"/>
      <c r="G254" s="31" t="n"/>
      <c r="H254" s="38" t="n"/>
      <c r="I254" s="38" t="n"/>
      <c r="J254" s="38" t="n"/>
      <c r="K254" s="90" t="n"/>
    </row>
    <row r="255" ht="21.75" customFormat="1" customHeight="1" s="19">
      <c r="A255" s="57" t="n"/>
      <c r="B255" s="29" t="n"/>
      <c r="C255" s="12" t="n"/>
      <c r="D255" s="31" t="n"/>
      <c r="E255" s="31" t="n"/>
      <c r="F255" s="9" t="n"/>
      <c r="G255" s="31" t="n"/>
      <c r="H255" s="38" t="n"/>
      <c r="I255" s="38" t="n"/>
      <c r="J255" s="38" t="n"/>
      <c r="K255" s="90" t="n"/>
    </row>
    <row r="256" ht="21.75" customFormat="1" customHeight="1" s="19">
      <c r="A256" s="57" t="n"/>
      <c r="B256" s="26" t="n"/>
      <c r="C256" s="12" t="n"/>
      <c r="D256" s="31" t="n"/>
      <c r="E256" s="31" t="n"/>
      <c r="F256" s="9" t="n"/>
      <c r="G256" s="31" t="n"/>
      <c r="H256" s="38" t="n"/>
      <c r="I256" s="38" t="n"/>
      <c r="J256" s="38" t="n"/>
      <c r="K256" s="90" t="n"/>
    </row>
    <row r="257" ht="21.75" customFormat="1" customHeight="1" s="19">
      <c r="A257" s="57" t="n"/>
      <c r="B257" s="29" t="n"/>
      <c r="C257" s="12" t="n"/>
      <c r="D257" s="31" t="n"/>
      <c r="E257" s="31" t="n"/>
      <c r="F257" s="9" t="n"/>
      <c r="G257" s="31" t="n"/>
      <c r="H257" s="38" t="n"/>
      <c r="I257" s="38" t="n"/>
      <c r="J257" s="38" t="n"/>
      <c r="K257" s="90" t="n"/>
    </row>
    <row r="258" ht="21.75" customFormat="1" customHeight="1" s="19">
      <c r="A258" s="57" t="n"/>
      <c r="B258" s="26" t="n"/>
      <c r="C258" s="12" t="n"/>
      <c r="D258" s="31" t="n"/>
      <c r="E258" s="31" t="n"/>
      <c r="F258" s="9" t="n"/>
      <c r="G258" s="31" t="n"/>
      <c r="H258" s="38" t="n"/>
      <c r="I258" s="38" t="n"/>
      <c r="J258" s="38" t="n"/>
      <c r="K258" s="90" t="n"/>
    </row>
    <row r="259" ht="21.75" customFormat="1" customHeight="1" s="19">
      <c r="A259" s="57" t="n"/>
      <c r="B259" s="29" t="n"/>
      <c r="C259" s="12" t="n"/>
      <c r="D259" s="31" t="n"/>
      <c r="E259" s="31" t="n"/>
      <c r="F259" s="9" t="n"/>
      <c r="G259" s="31" t="n"/>
      <c r="H259" s="38" t="n"/>
      <c r="I259" s="38" t="n"/>
      <c r="J259" s="38" t="n"/>
      <c r="K259" s="90" t="n"/>
    </row>
    <row r="260" ht="21.75" customFormat="1" customHeight="1" s="19">
      <c r="A260" s="57" t="n"/>
      <c r="B260" s="26" t="n"/>
      <c r="C260" s="12" t="n"/>
      <c r="D260" s="31" t="n"/>
      <c r="E260" s="31" t="n"/>
      <c r="F260" s="9" t="n"/>
      <c r="G260" s="31" t="n"/>
      <c r="H260" s="38" t="n"/>
      <c r="I260" s="38" t="n"/>
      <c r="J260" s="38" t="n"/>
      <c r="K260" s="90" t="n"/>
    </row>
    <row r="261" ht="21.75" customFormat="1" customHeight="1" s="19" thickBot="1">
      <c r="A261" s="57" t="n"/>
      <c r="B261" s="33" t="n"/>
      <c r="C261" s="34" t="n"/>
      <c r="D261" s="31" t="n"/>
      <c r="E261" s="31" t="n"/>
      <c r="F261" s="9" t="n"/>
      <c r="G261" s="31" t="n"/>
      <c r="H261" s="38" t="n"/>
      <c r="I261" s="38" t="n"/>
      <c r="J261" s="38" t="n"/>
      <c r="K261" s="90" t="n"/>
    </row>
    <row r="262" ht="21.75" customFormat="1" customHeight="1" s="19" thickBot="1">
      <c r="A262" s="57" t="n"/>
      <c r="B262" s="35" t="n"/>
      <c r="C262" s="36" t="n"/>
      <c r="D262" s="40" t="n"/>
      <c r="E262" s="40" t="n"/>
      <c r="F262" s="40" t="n"/>
      <c r="G262" s="40" t="n"/>
      <c r="H262" s="40" t="n"/>
      <c r="I262" s="40" t="n"/>
      <c r="J262" s="40" t="n"/>
      <c r="K262" s="40" t="n"/>
    </row>
    <row r="263" ht="21.75" customFormat="1" customHeight="1" s="19">
      <c r="A263" s="146" t="n"/>
      <c r="C263" s="86" t="n"/>
      <c r="D263" s="85" t="n"/>
      <c r="E263" s="85" t="n"/>
      <c r="F263" s="85" t="n"/>
      <c r="G263" s="85" t="n"/>
      <c r="H263" s="85" t="n"/>
      <c r="I263" s="85" t="n"/>
      <c r="J263" s="85" t="n"/>
      <c r="K263" s="85" t="n"/>
    </row>
    <row r="264" ht="21.75" customFormat="1" customHeight="1" s="19">
      <c r="A264" s="7" t="n"/>
      <c r="B264" s="13" t="n"/>
      <c r="C264" s="14" t="n"/>
      <c r="D264" s="15" t="n"/>
      <c r="E264" s="15" t="n"/>
      <c r="F264" s="16" t="n"/>
      <c r="G264" s="15" t="n"/>
      <c r="H264" s="17" t="n"/>
      <c r="I264" s="17" t="n"/>
      <c r="J264" s="17" t="n"/>
      <c r="K264" s="18" t="n"/>
    </row>
  </sheetData>
  <mergeCells count="20">
    <mergeCell ref="F15:F16"/>
    <mergeCell ref="J15:J16"/>
    <mergeCell ref="A110:B110"/>
    <mergeCell ref="L15:L16"/>
    <mergeCell ref="M15:M16"/>
    <mergeCell ref="E15:E16"/>
    <mergeCell ref="G15:G16"/>
    <mergeCell ref="B15:B16"/>
    <mergeCell ref="D15:D16"/>
    <mergeCell ref="A139:B139"/>
    <mergeCell ref="A85:B85"/>
    <mergeCell ref="A35:B35"/>
    <mergeCell ref="A171:B171"/>
    <mergeCell ref="A11:C11"/>
    <mergeCell ref="A63:B63"/>
    <mergeCell ref="A170:B170"/>
    <mergeCell ref="H15:I15"/>
    <mergeCell ref="A15:A16"/>
    <mergeCell ref="C15:C16"/>
    <mergeCell ref="K15:K1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8:S26"/>
  <sheetViews>
    <sheetView topLeftCell="A15" zoomScaleNormal="100" workbookViewId="0">
      <selection activeCell="H29" sqref="H29"/>
    </sheetView>
  </sheetViews>
  <sheetFormatPr baseColWidth="8" defaultColWidth="10.90625" defaultRowHeight="14.5"/>
  <cols>
    <col width="16.3" customWidth="1" style="6" min="1" max="1"/>
    <col width="30" customWidth="1" style="6" min="2" max="2"/>
    <col width="13.7" customWidth="1" style="6" min="3" max="3"/>
    <col width="18" customWidth="1" style="6" min="4" max="4"/>
    <col width="16" customWidth="1" style="6" min="5" max="8"/>
    <col width="13" customWidth="1" style="6" min="6" max="6"/>
    <col width="16" customWidth="1" style="6" min="7" max="7"/>
    <col width="16" customWidth="1" style="6" min="8" max="8"/>
    <col width="15" customWidth="1" style="6" min="9" max="9"/>
    <col width="15" customWidth="1" style="6" min="10" max="10"/>
    <col width="12" customWidth="1" style="6" min="11" max="11"/>
    <col width="12" customWidth="1" style="6" min="12" max="12"/>
    <col width="11" customWidth="1" style="6" min="13" max="13"/>
    <col width="13" customWidth="1" style="6" min="14" max="14"/>
    <col width="15" customWidth="1" style="6" min="15" max="15"/>
    <col width="15" customWidth="1" style="6" min="16" max="16"/>
  </cols>
  <sheetData>
    <row r="8" ht="15.5" customHeight="1" s="6">
      <c r="A8" s="93" t="n"/>
      <c r="B8" s="121" t="inlineStr">
        <is>
          <t>PROVINCE DU KASAI CENTRAL</t>
        </is>
      </c>
      <c r="C8" s="121" t="n"/>
      <c r="D8" s="121" t="n"/>
      <c r="E8" s="93" t="n"/>
      <c r="F8" s="93" t="n"/>
      <c r="G8" s="93" t="n"/>
      <c r="H8" s="93" t="n"/>
      <c r="I8" s="93" t="n"/>
      <c r="J8" s="93" t="n"/>
      <c r="K8" s="93" t="n"/>
      <c r="L8" s="93" t="n"/>
      <c r="M8" s="93" t="n"/>
    </row>
    <row r="9" ht="15.5" customHeight="1" s="6">
      <c r="A9" s="93" t="n"/>
      <c r="B9" s="121" t="inlineStr">
        <is>
          <t>DIVISION PROVINCIALE DE LA SANTE DU KASAI CENTRAL</t>
        </is>
      </c>
      <c r="C9" s="121" t="n"/>
      <c r="D9" s="121" t="n"/>
      <c r="E9" s="93" t="n"/>
      <c r="F9" s="93" t="n"/>
      <c r="G9" s="93" t="n"/>
      <c r="H9" s="93" t="n"/>
      <c r="I9" s="93" t="n"/>
      <c r="J9" s="93" t="n"/>
      <c r="K9" s="93" t="n"/>
      <c r="L9" s="93" t="n"/>
      <c r="M9" s="93" t="n"/>
    </row>
    <row r="10" ht="15.5" customHeight="1" s="6">
      <c r="A10" s="93" t="n"/>
      <c r="B10" s="121" t="inlineStr">
        <is>
          <t>COORDINATION PROVINCE PEV KASAI CENTRAL</t>
        </is>
      </c>
      <c r="C10" s="121" t="n"/>
      <c r="D10" s="121" t="n"/>
      <c r="E10" s="93" t="n"/>
      <c r="F10" s="93" t="n"/>
      <c r="G10" s="93" t="n"/>
      <c r="H10" s="93" t="n"/>
      <c r="I10" s="93" t="n"/>
      <c r="J10" s="93" t="n"/>
      <c r="K10" s="93" t="n"/>
      <c r="L10" s="93" t="n"/>
      <c r="M10" s="93" t="n"/>
    </row>
    <row r="11" ht="15.5" customHeight="1" s="6">
      <c r="A11" s="121" t="inlineStr">
        <is>
          <t>ANTENNE PEV LUIZA</t>
        </is>
      </c>
      <c r="D11" s="121" t="n"/>
      <c r="E11" s="93" t="n"/>
      <c r="F11" s="93" t="n"/>
      <c r="G11" s="93" t="n"/>
      <c r="H11" s="93" t="n"/>
      <c r="I11" s="93" t="n"/>
      <c r="J11" s="93" t="n"/>
      <c r="K11" s="93" t="n"/>
      <c r="L11" s="93" t="n"/>
      <c r="M11" s="93" t="n"/>
    </row>
    <row r="12" ht="15.5" customHeight="1" s="6">
      <c r="B12" s="121" t="inlineStr">
        <is>
          <t>FEVRIER 2026</t>
        </is>
      </c>
    </row>
    <row r="15" ht="34" customHeight="1" s="6" thickBot="1">
      <c r="A15" s="130" t="inlineStr">
        <is>
          <t>Antenne</t>
        </is>
      </c>
      <c r="B15" s="130" t="inlineStr">
        <is>
          <t>Zone de Santé</t>
        </is>
      </c>
      <c r="C15" s="96" t="inlineStr">
        <is>
          <t>Nbre D' Aire de Santé</t>
        </is>
      </c>
      <c r="D15" s="4" t="inlineStr">
        <is>
          <t>Nbre total des refrigerateurs solaire</t>
        </is>
      </c>
      <c r="E15" s="4" t="inlineStr">
        <is>
          <t>Nbre des réfrigérateus solaire fonctionnel</t>
        </is>
      </c>
      <c r="F15" s="116" t="inlineStr">
        <is>
          <t>Taux de fonctionnalité</t>
        </is>
      </c>
      <c r="G15" s="4" t="inlineStr">
        <is>
          <t>Nbre des réfrigérateurs solaire en panne</t>
        </is>
      </c>
      <c r="H15" s="4" t="inlineStr">
        <is>
          <t>Taux des réfrigérateurs solaire en panne</t>
        </is>
      </c>
      <c r="I15" s="4" t="inlineStr">
        <is>
          <t>Nbre des réfrigérateus à pétrole  fonctionnel</t>
        </is>
      </c>
      <c r="J15" s="4" t="inlineStr">
        <is>
          <t>Nbre des réfrigérateus à pétrole  en panne</t>
        </is>
      </c>
      <c r="K15" s="5" t="inlineStr">
        <is>
          <t>Nbre des Boites isothermes (BI)</t>
        </is>
      </c>
      <c r="L15" s="131" t="n"/>
      <c r="M15" s="5" t="inlineStr">
        <is>
          <t>Doses VAR</t>
        </is>
      </c>
      <c r="N15" s="5" t="inlineStr">
        <is>
          <t>Nbre des glacières</t>
        </is>
      </c>
      <c r="O15" s="5" t="inlineStr">
        <is>
          <t>Nbre d'accumulateur</t>
        </is>
      </c>
      <c r="P15" s="5" t="inlineStr">
        <is>
          <t>Nbre des megaphones</t>
        </is>
      </c>
    </row>
    <row r="16" ht="34" customHeight="1" s="6">
      <c r="A16" s="132" t="n"/>
      <c r="B16" s="132" t="n"/>
      <c r="D16" s="134" t="n"/>
      <c r="E16" s="134" t="n"/>
      <c r="F16" s="134" t="n"/>
      <c r="G16" s="134" t="n"/>
      <c r="H16" s="134" t="n"/>
      <c r="I16" s="134" t="n"/>
      <c r="J16" s="134" t="n"/>
      <c r="K16" s="5" t="inlineStr">
        <is>
          <t>Petit format</t>
        </is>
      </c>
      <c r="L16" s="5" t="inlineStr">
        <is>
          <t>Grand format</t>
        </is>
      </c>
      <c r="M16" s="134" t="n"/>
      <c r="N16" s="134" t="n"/>
      <c r="O16" s="134" t="n"/>
      <c r="P16" s="134" t="n"/>
    </row>
    <row r="17" ht="21.75" customHeight="1" s="6">
      <c r="A17" s="7" t="inlineStr">
        <is>
          <t>LUIZA</t>
        </is>
      </c>
      <c r="B17" s="7" t="inlineStr">
        <is>
          <t>Kalomba</t>
        </is>
      </c>
      <c r="C17" s="147">
        <f>'TOTAL 6 ZS'!C35</f>
        <v/>
      </c>
      <c r="D17" s="147">
        <f>E17+G17</f>
        <v/>
      </c>
      <c r="E17" s="147">
        <f>'TOTAL 6 ZS'!D35</f>
        <v/>
      </c>
      <c r="F17" s="147">
        <f>IFERROR(E17*100/D17,"")</f>
        <v/>
      </c>
      <c r="G17" s="147">
        <f>'TOTAL 6 ZS'!E35</f>
        <v/>
      </c>
      <c r="H17" s="147">
        <f>IFERROR(G17*100/D17,"")</f>
        <v/>
      </c>
      <c r="I17" s="147">
        <f>'TOTAL 6 ZS'!F35</f>
        <v/>
      </c>
      <c r="J17" s="147">
        <f>'TOTAL 6 ZS'!G35</f>
        <v/>
      </c>
      <c r="K17" s="147">
        <f>'TOTAL 6 ZS'!H35</f>
        <v/>
      </c>
      <c r="L17" s="147">
        <f>'TOTAL 6 ZS'!I35</f>
        <v/>
      </c>
      <c r="M17" s="147">
        <f>'TOTAL 6 ZS'!J35</f>
        <v/>
      </c>
      <c r="N17" s="147">
        <f>'TOTAL 6 ZS'!K35</f>
        <v/>
      </c>
      <c r="O17" s="147">
        <f>'TOTAL 6 ZS'!L35</f>
        <v/>
      </c>
      <c r="P17" s="147">
        <f>'TOTAL 6 ZS'!M35</f>
        <v/>
      </c>
    </row>
    <row r="18" ht="21.75" customHeight="1" s="6">
      <c r="A18" s="7" t="inlineStr">
        <is>
          <t>LUIZA</t>
        </is>
      </c>
      <c r="B18" s="7" t="inlineStr">
        <is>
          <t>Luambo</t>
        </is>
      </c>
      <c r="C18" s="147">
        <f>'TOTAL 6 ZS'!C63</f>
        <v/>
      </c>
      <c r="D18" s="147">
        <f>E18+G18</f>
        <v/>
      </c>
      <c r="E18" s="147">
        <f>'TOTAL 6 ZS'!D63</f>
        <v/>
      </c>
      <c r="F18" s="147">
        <f>IFERROR(E18*100/D18,"")</f>
        <v/>
      </c>
      <c r="G18" s="147">
        <f>'TOTAL 6 ZS'!E63</f>
        <v/>
      </c>
      <c r="H18" s="147">
        <f>IFERROR(G18*100/D18,"")</f>
        <v/>
      </c>
      <c r="I18" s="147">
        <f>'TOTAL 6 ZS'!F63</f>
        <v/>
      </c>
      <c r="J18" s="147">
        <f>'TOTAL 6 ZS'!G63</f>
        <v/>
      </c>
      <c r="K18" s="147">
        <f>'TOTAL 6 ZS'!H63</f>
        <v/>
      </c>
      <c r="L18" s="147">
        <f>'TOTAL 6 ZS'!I63</f>
        <v/>
      </c>
      <c r="M18" s="147">
        <f>'TOTAL 6 ZS'!J63</f>
        <v/>
      </c>
      <c r="N18" s="147">
        <f>'TOTAL 6 ZS'!K63</f>
        <v/>
      </c>
      <c r="O18" s="147">
        <f>'TOTAL 6 ZS'!L63</f>
        <v/>
      </c>
      <c r="P18" s="147">
        <f>'TOTAL 6 ZS'!M63</f>
        <v/>
      </c>
    </row>
    <row r="19" ht="21.75" customHeight="1" s="6">
      <c r="A19" s="7" t="inlineStr">
        <is>
          <t>LUIZA</t>
        </is>
      </c>
      <c r="B19" s="7" t="inlineStr">
        <is>
          <t>Luiza</t>
        </is>
      </c>
      <c r="C19" s="147">
        <f>'TOTAL 6 ZS'!C85</f>
        <v/>
      </c>
      <c r="D19" s="147">
        <f>E19+G19</f>
        <v/>
      </c>
      <c r="E19" s="147">
        <f>'TOTAL 6 ZS'!D85</f>
        <v/>
      </c>
      <c r="F19" s="147">
        <f>IFERROR(E19*100/D19,"")</f>
        <v/>
      </c>
      <c r="G19" s="147">
        <f>'TOTAL 6 ZS'!E85</f>
        <v/>
      </c>
      <c r="H19" s="147">
        <f>IFERROR(G19*100/D19,"")</f>
        <v/>
      </c>
      <c r="I19" s="147">
        <f>'TOTAL 6 ZS'!F85</f>
        <v/>
      </c>
      <c r="J19" s="147">
        <f>'TOTAL 6 ZS'!G85</f>
        <v/>
      </c>
      <c r="K19" s="147">
        <f>'TOTAL 6 ZS'!H85</f>
        <v/>
      </c>
      <c r="L19" s="147">
        <f>'TOTAL 6 ZS'!I85</f>
        <v/>
      </c>
      <c r="M19" s="147">
        <f>'TOTAL 6 ZS'!J85</f>
        <v/>
      </c>
      <c r="N19" s="147">
        <f>'TOTAL 6 ZS'!K85</f>
        <v/>
      </c>
      <c r="O19" s="147">
        <f>'TOTAL 6 ZS'!L85</f>
        <v/>
      </c>
      <c r="P19" s="147">
        <f>'TOTAL 6 ZS'!M85</f>
        <v/>
      </c>
    </row>
    <row r="20" ht="21.75" customHeight="1" s="6">
      <c r="A20" s="7" t="inlineStr">
        <is>
          <t>LUIZA</t>
        </is>
      </c>
      <c r="B20" s="7" t="inlineStr">
        <is>
          <t>Masuika</t>
        </is>
      </c>
      <c r="C20" s="147">
        <f>'TOTAL 6 ZS'!C110</f>
        <v/>
      </c>
      <c r="D20" s="147">
        <f>E20+G20</f>
        <v/>
      </c>
      <c r="E20" s="147">
        <f>'TOTAL 6 ZS'!D110</f>
        <v/>
      </c>
      <c r="F20" s="147">
        <f>IFERROR(E20*100/D20,"")</f>
        <v/>
      </c>
      <c r="G20" s="147">
        <f>'TOTAL 6 ZS'!E110</f>
        <v/>
      </c>
      <c r="H20" s="147">
        <f>IFERROR(G20*100/D20,"")</f>
        <v/>
      </c>
      <c r="I20" s="147">
        <f>'TOTAL 6 ZS'!F110</f>
        <v/>
      </c>
      <c r="J20" s="147">
        <f>'TOTAL 6 ZS'!G110</f>
        <v/>
      </c>
      <c r="K20" s="147">
        <f>'TOTAL 6 ZS'!H110</f>
        <v/>
      </c>
      <c r="L20" s="147">
        <f>'TOTAL 6 ZS'!I110</f>
        <v/>
      </c>
      <c r="M20" s="147">
        <f>'TOTAL 6 ZS'!J110</f>
        <v/>
      </c>
      <c r="N20" s="147">
        <f>'TOTAL 6 ZS'!K110</f>
        <v/>
      </c>
      <c r="O20" s="147">
        <f>'TOTAL 6 ZS'!L110</f>
        <v/>
      </c>
      <c r="P20" s="147">
        <f>'TOTAL 6 ZS'!M110</f>
        <v/>
      </c>
    </row>
    <row r="21" ht="21.75" customHeight="1" s="6">
      <c r="A21" s="7" t="inlineStr">
        <is>
          <t>LUIZA</t>
        </is>
      </c>
      <c r="B21" s="7" t="inlineStr">
        <is>
          <t>Tshibala</t>
        </is>
      </c>
      <c r="C21" s="147">
        <f>'TOTAL 6 ZS'!C139</f>
        <v/>
      </c>
      <c r="D21" s="147">
        <f>E21+G21</f>
        <v/>
      </c>
      <c r="E21" s="147">
        <f>'TOTAL 6 ZS'!D139</f>
        <v/>
      </c>
      <c r="F21" s="147">
        <f>IFERROR(E21*100/D21,"")</f>
        <v/>
      </c>
      <c r="G21" s="147">
        <f>'TOTAL 6 ZS'!E139</f>
        <v/>
      </c>
      <c r="H21" s="147">
        <f>IFERROR(G21*100/D21,"")</f>
        <v/>
      </c>
      <c r="I21" s="147">
        <f>'TOTAL 6 ZS'!F139</f>
        <v/>
      </c>
      <c r="J21" s="147">
        <f>'TOTAL 6 ZS'!G139</f>
        <v/>
      </c>
      <c r="K21" s="147">
        <f>'TOTAL 6 ZS'!H139</f>
        <v/>
      </c>
      <c r="L21" s="147">
        <f>'TOTAL 6 ZS'!I139</f>
        <v/>
      </c>
      <c r="M21" s="147">
        <f>'TOTAL 6 ZS'!J139</f>
        <v/>
      </c>
      <c r="N21" s="147">
        <f>'TOTAL 6 ZS'!K139</f>
        <v/>
      </c>
      <c r="O21" s="147">
        <f>'TOTAL 6 ZS'!L139</f>
        <v/>
      </c>
      <c r="P21" s="147">
        <f>'TOTAL 6 ZS'!M139</f>
        <v/>
      </c>
    </row>
    <row r="22" ht="21.75" customHeight="1" s="6">
      <c r="A22" s="7" t="inlineStr">
        <is>
          <t>LUIZA</t>
        </is>
      </c>
      <c r="B22" s="7" t="inlineStr">
        <is>
          <t>Yangala</t>
        </is>
      </c>
      <c r="C22" s="147">
        <f>'TOTAL 6 ZS'!C170</f>
        <v/>
      </c>
      <c r="D22" s="147">
        <f>E22+G22</f>
        <v/>
      </c>
      <c r="E22" s="147">
        <f>'TOTAL 6 ZS'!D170</f>
        <v/>
      </c>
      <c r="F22" s="147">
        <f>IFERROR(E22*100/D22,"")</f>
        <v/>
      </c>
      <c r="G22" s="147">
        <f>'TOTAL 6 ZS'!E170</f>
        <v/>
      </c>
      <c r="H22" s="147">
        <f>IFERROR(G22*100/D22,"")</f>
        <v/>
      </c>
      <c r="I22" s="147">
        <f>'TOTAL 6 ZS'!F170</f>
        <v/>
      </c>
      <c r="J22" s="147">
        <f>'TOTAL 6 ZS'!G170</f>
        <v/>
      </c>
      <c r="K22" s="147">
        <f>'TOTAL 6 ZS'!H170</f>
        <v/>
      </c>
      <c r="L22" s="147">
        <f>'TOTAL 6 ZS'!I170</f>
        <v/>
      </c>
      <c r="M22" s="147">
        <f>'TOTAL 6 ZS'!J170</f>
        <v/>
      </c>
      <c r="N22" s="147">
        <f>'TOTAL 6 ZS'!K170</f>
        <v/>
      </c>
      <c r="O22" s="147">
        <f>'TOTAL 6 ZS'!L170</f>
        <v/>
      </c>
      <c r="P22" s="147">
        <f>'TOTAL 6 ZS'!M170</f>
        <v/>
      </c>
    </row>
    <row r="23" ht="21.75" customHeight="1" s="6">
      <c r="A23" s="148" t="inlineStr">
        <is>
          <t>TOTAL ANTENNE PEV LUIZA</t>
        </is>
      </c>
      <c r="B23" s="131" t="n"/>
      <c r="C23" s="148">
        <f>SUM(C17:C22)</f>
        <v/>
      </c>
      <c r="D23" s="148">
        <f>E23+G23</f>
        <v/>
      </c>
      <c r="E23" s="148">
        <f>SUM(E17:E22)</f>
        <v/>
      </c>
      <c r="F23" s="148">
        <f>IFERROR(E23*100/D23,"")</f>
        <v/>
      </c>
      <c r="G23" s="148">
        <f>SUM(G17:G22)</f>
        <v/>
      </c>
      <c r="H23" s="148">
        <f>IFERROR(G23*100/D23,"")</f>
        <v/>
      </c>
      <c r="I23" s="148">
        <f>SUM(I17:I22)</f>
        <v/>
      </c>
      <c r="J23" s="148">
        <f>SUM(J17:J22)</f>
        <v/>
      </c>
      <c r="K23" s="148">
        <f>SUM(K17:K22)</f>
        <v/>
      </c>
      <c r="L23" s="148">
        <f>SUM(L17:L22)</f>
        <v/>
      </c>
      <c r="M23" s="148">
        <f>SUM(M17:M22)</f>
        <v/>
      </c>
      <c r="N23" s="148">
        <f>SUM(N17:N22)</f>
        <v/>
      </c>
      <c r="O23" s="148">
        <f>SUM(O17:O22)</f>
        <v/>
      </c>
      <c r="P23" s="148">
        <f>SUM(P17:P22)</f>
        <v/>
      </c>
    </row>
    <row r="24" ht="21.75" customHeight="1" s="6">
      <c r="A24" s="7" t="n"/>
      <c r="B24" s="111" t="n"/>
      <c r="C24" s="100" t="n"/>
      <c r="D24" s="113" t="n"/>
      <c r="E24" s="98" t="n"/>
      <c r="F24" s="114" t="n"/>
      <c r="G24" s="22" t="n"/>
      <c r="H24" s="115" t="n"/>
      <c r="I24" s="22" t="n"/>
      <c r="J24" s="22" t="n"/>
      <c r="K24" s="22" t="n"/>
      <c r="L24" s="22" t="n"/>
      <c r="M24" s="22" t="n"/>
      <c r="N24" s="22" t="n"/>
    </row>
    <row r="25" ht="21.75" customFormat="1" customHeight="1" s="19">
      <c r="A25" s="119" t="n"/>
      <c r="C25" s="101" t="n"/>
      <c r="D25" s="113" t="n"/>
      <c r="E25" s="86" t="n"/>
      <c r="F25" s="114" t="n"/>
      <c r="G25" s="86" t="n"/>
      <c r="H25" s="115" t="n"/>
      <c r="I25" s="86" t="n"/>
      <c r="J25" s="86" t="n"/>
      <c r="K25" s="86" t="n"/>
      <c r="L25" s="86" t="n"/>
      <c r="M25" s="86" t="n"/>
      <c r="N25" s="86" t="n"/>
    </row>
    <row r="26" ht="21.75" customFormat="1" customHeight="1" s="19">
      <c r="A26" s="7" t="n"/>
      <c r="B26" s="13" t="n"/>
      <c r="C26" s="14" t="n"/>
      <c r="D26" s="97" t="n"/>
      <c r="E26" s="15" t="n"/>
      <c r="F26" s="15" t="n"/>
      <c r="G26" s="15" t="n"/>
      <c r="H26" s="15" t="n"/>
      <c r="I26" s="16" t="n"/>
      <c r="J26" s="15" t="n"/>
      <c r="K26" s="17" t="n"/>
      <c r="L26" s="17" t="n"/>
      <c r="M26" s="17" t="n"/>
      <c r="N26" s="18" t="n"/>
    </row>
  </sheetData>
  <mergeCells count="17">
    <mergeCell ref="F15:F16"/>
    <mergeCell ref="D15:D16"/>
    <mergeCell ref="P15:P16"/>
    <mergeCell ref="M15:M16"/>
    <mergeCell ref="A11:C11"/>
    <mergeCell ref="K15:L15"/>
    <mergeCell ref="A23:B23"/>
    <mergeCell ref="A15:A16"/>
    <mergeCell ref="E15:E16"/>
    <mergeCell ref="C15:C16"/>
    <mergeCell ref="I15:I16"/>
    <mergeCell ref="G15:G16"/>
    <mergeCell ref="J15:J16"/>
    <mergeCell ref="H15:H16"/>
    <mergeCell ref="N15:N16"/>
    <mergeCell ref="O15:O16"/>
    <mergeCell ref="B15:B16"/>
  </mergeCells>
  <pageMargins left="0.7" right="0.7" top="0.75" bottom="0.75" header="0.3" footer="0.3"/>
  <pageSetup orientation="landscape" paperSize="9" scale="68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8:K26"/>
  <sheetViews>
    <sheetView view="pageBreakPreview" topLeftCell="A5" zoomScale="70" zoomScaleNormal="100" zoomScaleSheetLayoutView="70" workbookViewId="0">
      <selection activeCell="G9" sqref="G9"/>
    </sheetView>
  </sheetViews>
  <sheetFormatPr baseColWidth="8" defaultColWidth="10.90625" defaultRowHeight="14.5"/>
  <cols>
    <col width="16.3" customWidth="1" style="6" min="1" max="1"/>
    <col width="26.2" customWidth="1" style="6" min="2" max="2"/>
    <col width="18" customWidth="1" style="6" min="3" max="3"/>
    <col width="22" customWidth="1" style="6" min="4" max="4"/>
    <col width="22" customWidth="1" style="6" min="5" max="5"/>
    <col width="18" customWidth="1" style="6" min="6" max="6"/>
    <col width="18" customWidth="1" style="6" min="7" max="7"/>
  </cols>
  <sheetData>
    <row r="8" ht="15.5" customHeight="1" s="6">
      <c r="A8" s="93" t="n"/>
      <c r="B8" s="121" t="inlineStr">
        <is>
          <t>PROVINCE DU KASAI CENTRAL</t>
        </is>
      </c>
      <c r="C8" s="121" t="n"/>
      <c r="D8" s="121" t="n"/>
      <c r="E8" s="121" t="n"/>
      <c r="F8" s="121" t="n"/>
      <c r="G8" s="93" t="n"/>
    </row>
    <row r="9" ht="15.5" customHeight="1" s="6">
      <c r="A9" s="93" t="n"/>
      <c r="B9" s="121" t="inlineStr">
        <is>
          <t>DIVISION PROVINCIALE DE LA SANTE DU KASAI CENTRAL</t>
        </is>
      </c>
      <c r="C9" s="121" t="n"/>
      <c r="D9" s="121" t="n"/>
      <c r="E9" s="121" t="n"/>
      <c r="G9" s="93" t="n"/>
    </row>
    <row r="10" ht="15.5" customHeight="1" s="6">
      <c r="A10" s="93" t="n"/>
      <c r="B10" s="121" t="inlineStr">
        <is>
          <t>COORDINATION PROVINCE PEV KASAI CENTRAL</t>
        </is>
      </c>
      <c r="C10" s="121" t="n"/>
      <c r="D10" s="121" t="n"/>
      <c r="E10" s="121" t="n"/>
      <c r="F10" s="121" t="n"/>
      <c r="G10" s="93" t="n"/>
    </row>
    <row r="11" ht="15.5" customHeight="1" s="6">
      <c r="A11" s="121" t="inlineStr">
        <is>
          <t>ANTENNE PEV LUIZA</t>
        </is>
      </c>
      <c r="D11" s="121" t="n"/>
      <c r="E11" s="121" t="n"/>
      <c r="F11" s="121" t="n"/>
      <c r="G11" s="93" t="n"/>
    </row>
    <row r="12" ht="15.5" customHeight="1" s="6">
      <c r="B12" s="121" t="inlineStr">
        <is>
          <t>FEVRIER 2026</t>
        </is>
      </c>
    </row>
    <row r="15" ht="48" customHeight="1" s="6" thickBot="1">
      <c r="A15" s="130" t="inlineStr">
        <is>
          <t>Antenne</t>
        </is>
      </c>
      <c r="B15" s="130" t="inlineStr">
        <is>
          <t>Zone de Santé</t>
        </is>
      </c>
      <c r="C15" s="3" t="inlineStr">
        <is>
          <t>Nbre D' Aire de Santé</t>
        </is>
      </c>
      <c r="D15" s="3" t="inlineStr">
        <is>
          <t>Nbre D' Aire de Santé sans réfrigérateur</t>
        </is>
      </c>
      <c r="E15" s="3" t="inlineStr">
        <is>
          <t>Nbre D' Aire de Santé avec réfrigerateur</t>
        </is>
      </c>
      <c r="F15" s="3" t="inlineStr">
        <is>
          <t>Couverture en réfrigérateur(%)</t>
        </is>
      </c>
      <c r="G15" s="4" t="inlineStr">
        <is>
          <t>Nbre d' AS avec deux réfrigérateur</t>
        </is>
      </c>
    </row>
    <row r="16" ht="21.75" customHeight="1" s="6">
      <c r="A16" s="7" t="inlineStr">
        <is>
          <t>LUIZA</t>
        </is>
      </c>
      <c r="B16" s="7" t="inlineStr">
        <is>
          <t>Kalomba</t>
        </is>
      </c>
      <c r="C16" s="149">
        <f>'TOTAL 6 ZS'!C35</f>
        <v/>
      </c>
      <c r="D16" s="149">
        <f>SUMPRODUCT((('TOTAL 6 ZS'!$D$17:$D$33+'TOTAL 6 ZS'!$E$17:$E$33+'TOTAL 6 ZS'!$F$17:$F$33+'TOTAL 6 ZS'!$G$17:$G$33)=0)*1)</f>
        <v/>
      </c>
      <c r="E16" s="149">
        <f>C16-D16</f>
        <v/>
      </c>
      <c r="F16" s="149">
        <f>IFERROR(E16*100/C16,"")</f>
        <v/>
      </c>
      <c r="G16" s="149">
        <f>SUMPRODUCT((('TOTAL 6 ZS'!$D$17:$D$33+'TOTAL 6 ZS'!$E$17:$E$33+'TOTAL 6 ZS'!$F$17:$F$33+'TOTAL 6 ZS'!$G$17:$G$33)&gt;=2)*1)</f>
        <v/>
      </c>
    </row>
    <row r="17" ht="21.75" customHeight="1" s="6">
      <c r="A17" s="7" t="inlineStr">
        <is>
          <t>LUIZA</t>
        </is>
      </c>
      <c r="B17" s="7" t="inlineStr">
        <is>
          <t>Luambo</t>
        </is>
      </c>
      <c r="C17" s="149">
        <f>'TOTAL 6 ZS'!C63</f>
        <v/>
      </c>
      <c r="D17" s="149">
        <f>SUMPRODUCT((('TOTAL 6 ZS'!$D$36:$D$61+'TOTAL 6 ZS'!$E$36:$E$61+'TOTAL 6 ZS'!$F$36:$F$61+'TOTAL 6 ZS'!$G$36:$G$61)=0)*1)</f>
        <v/>
      </c>
      <c r="E17" s="149">
        <f>C17-D17</f>
        <v/>
      </c>
      <c r="F17" s="149">
        <f>IFERROR(E17*100/C17,"")</f>
        <v/>
      </c>
      <c r="G17" s="149">
        <f>SUMPRODUCT((('TOTAL 6 ZS'!$D$36:$D$61+'TOTAL 6 ZS'!$E$36:$E$61+'TOTAL 6 ZS'!$F$36:$F$61+'TOTAL 6 ZS'!$G$36:$G$61)&gt;=2)*1)</f>
        <v/>
      </c>
    </row>
    <row r="18" ht="21.75" customHeight="1" s="6">
      <c r="A18" s="7" t="inlineStr">
        <is>
          <t>LUIZA</t>
        </is>
      </c>
      <c r="B18" s="7" t="inlineStr">
        <is>
          <t>Luiza</t>
        </is>
      </c>
      <c r="C18" s="149">
        <f>'TOTAL 6 ZS'!C85</f>
        <v/>
      </c>
      <c r="D18" s="149">
        <f>SUMPRODUCT((('TOTAL 6 ZS'!$D$64:$D$83+'TOTAL 6 ZS'!$E$64:$E$83+'TOTAL 6 ZS'!$F$64:$F$83+'TOTAL 6 ZS'!$G$64:$G$83)=0)*1)</f>
        <v/>
      </c>
      <c r="E18" s="149">
        <f>C18-D18</f>
        <v/>
      </c>
      <c r="F18" s="149">
        <f>IFERROR(E18*100/C18,"")</f>
        <v/>
      </c>
      <c r="G18" s="149">
        <f>SUMPRODUCT((('TOTAL 6 ZS'!$D$64:$D$83+'TOTAL 6 ZS'!$E$64:$E$83+'TOTAL 6 ZS'!$F$64:$F$83+'TOTAL 6 ZS'!$G$64:$G$83)&gt;=2)*1)</f>
        <v/>
      </c>
    </row>
    <row r="19" ht="21.75" customHeight="1" s="6">
      <c r="A19" s="7" t="inlineStr">
        <is>
          <t>LUIZA</t>
        </is>
      </c>
      <c r="B19" s="7" t="inlineStr">
        <is>
          <t>Masuika</t>
        </is>
      </c>
      <c r="C19" s="149">
        <f>'TOTAL 6 ZS'!C110</f>
        <v/>
      </c>
      <c r="D19" s="149">
        <f>SUMPRODUCT((('TOTAL 6 ZS'!$D$86:$D$108+'TOTAL 6 ZS'!$E$86:$E$108+'TOTAL 6 ZS'!$F$86:$F$108+'TOTAL 6 ZS'!$G$86:$G$108)=0)*1)</f>
        <v/>
      </c>
      <c r="E19" s="149">
        <f>C19-D19</f>
        <v/>
      </c>
      <c r="F19" s="149">
        <f>IFERROR(E19*100/C19,"")</f>
        <v/>
      </c>
      <c r="G19" s="149">
        <f>SUMPRODUCT((('TOTAL 6 ZS'!$D$86:$D$108+'TOTAL 6 ZS'!$E$86:$E$108+'TOTAL 6 ZS'!$F$86:$F$108+'TOTAL 6 ZS'!$G$86:$G$108)&gt;=2)*1)</f>
        <v/>
      </c>
    </row>
    <row r="20" ht="21.75" customHeight="1" s="6">
      <c r="A20" s="7" t="inlineStr">
        <is>
          <t>LUIZA</t>
        </is>
      </c>
      <c r="B20" s="7" t="inlineStr">
        <is>
          <t>Tshibala</t>
        </is>
      </c>
      <c r="C20" s="149">
        <f>'TOTAL 6 ZS'!C139</f>
        <v/>
      </c>
      <c r="D20" s="149">
        <f>SUMPRODUCT((('TOTAL 6 ZS'!$D$111:$D$137+'TOTAL 6 ZS'!$E$111:$E$137+'TOTAL 6 ZS'!$F$111:$F$137+'TOTAL 6 ZS'!$G$111:$G$137)=0)*1)</f>
        <v/>
      </c>
      <c r="E20" s="149">
        <f>C20-D20</f>
        <v/>
      </c>
      <c r="F20" s="149">
        <f>IFERROR(E20*100/C20,"")</f>
        <v/>
      </c>
      <c r="G20" s="149">
        <f>SUMPRODUCT((('TOTAL 6 ZS'!$D$111:$D$137+'TOTAL 6 ZS'!$E$111:$E$137+'TOTAL 6 ZS'!$F$111:$F$137+'TOTAL 6 ZS'!$G$111:$G$137)&gt;=2)*1)</f>
        <v/>
      </c>
    </row>
    <row r="21" ht="21.75" customHeight="1" s="6">
      <c r="A21" s="7" t="inlineStr">
        <is>
          <t>LUIZA</t>
        </is>
      </c>
      <c r="B21" s="7" t="inlineStr">
        <is>
          <t>Yangala</t>
        </is>
      </c>
      <c r="C21" s="149">
        <f>'TOTAL 6 ZS'!C170</f>
        <v/>
      </c>
      <c r="D21" s="149">
        <f>SUMPRODUCT((('TOTAL 6 ZS'!$D$140:$D$168+'TOTAL 6 ZS'!$E$140:$E$168+'TOTAL 6 ZS'!$F$140:$F$168+'TOTAL 6 ZS'!$G$140:$G$168)=0)*1)</f>
        <v/>
      </c>
      <c r="E21" s="149">
        <f>C21-D21</f>
        <v/>
      </c>
      <c r="F21" s="149">
        <f>IFERROR(E21*100/C21,"")</f>
        <v/>
      </c>
      <c r="G21" s="149">
        <f>SUMPRODUCT((('TOTAL 6 ZS'!$D$140:$D$168+'TOTAL 6 ZS'!$E$140:$E$168+'TOTAL 6 ZS'!$F$140:$F$168+'TOTAL 6 ZS'!$G$140:$G$168)&gt;=2)*1)</f>
        <v/>
      </c>
    </row>
    <row r="22" ht="21.75" customHeight="1" s="6">
      <c r="A22" s="150" t="inlineStr">
        <is>
          <t>TOTAL ANTENNE PEV LUIZA</t>
        </is>
      </c>
      <c r="B22" s="151" t="n"/>
      <c r="C22" s="150">
        <f>SUM(C16:C21)</f>
        <v/>
      </c>
      <c r="D22" s="150">
        <f>SUM(D16:D21)</f>
        <v/>
      </c>
      <c r="E22" s="150">
        <f>C22-D22</f>
        <v/>
      </c>
      <c r="F22" s="150">
        <f>IFERROR(E22*100/C22,"")</f>
        <v/>
      </c>
      <c r="G22" s="150">
        <f>SUM(G16:G21)</f>
        <v/>
      </c>
    </row>
    <row r="23" ht="21.75" customHeight="1" s="6">
      <c r="A23" s="7" t="n"/>
      <c r="B23" s="26" t="n"/>
      <c r="C23" s="102" t="n"/>
      <c r="D23" s="41" t="n"/>
      <c r="E23" s="41" t="n"/>
      <c r="F23" s="23" t="n"/>
      <c r="G23" s="98" t="n"/>
    </row>
    <row r="24" ht="21.75" customHeight="1" s="6">
      <c r="A24" s="7" t="n"/>
      <c r="B24" s="29" t="n"/>
      <c r="C24" s="102" t="n"/>
      <c r="D24" s="41" t="n"/>
      <c r="E24" s="41" t="n"/>
      <c r="F24" s="23" t="n"/>
      <c r="G24" s="98" t="n"/>
    </row>
    <row r="25" ht="21.75" customFormat="1" customHeight="1" s="19">
      <c r="A25" s="146" t="n"/>
      <c r="C25" s="105" t="n"/>
      <c r="D25" s="106" t="n"/>
      <c r="E25" s="107" t="n"/>
      <c r="F25" s="108" t="n"/>
      <c r="G25" s="86" t="n"/>
    </row>
    <row r="26" ht="21.75" customFormat="1" customHeight="1" s="19">
      <c r="A26" s="7" t="n"/>
      <c r="B26" s="13" t="n"/>
      <c r="C26" s="14" t="n"/>
      <c r="D26" s="97" t="n"/>
      <c r="E26" s="97" t="n"/>
      <c r="F26" s="97" t="n"/>
      <c r="G26" s="15" t="n"/>
    </row>
  </sheetData>
  <mergeCells count="2">
    <mergeCell ref="A22:B22"/>
    <mergeCell ref="A11:C11"/>
  </mergeCells>
  <pageMargins left="0.7" right="0.7" top="0.75" bottom="0.75" header="0.3" footer="0.3"/>
  <pageSetup orientation="landscape" paperSize="9" scale="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Congo mobile</dc:creator>
  <dcterms:created xsi:type="dcterms:W3CDTF">2026-02-10T09:03:20Z</dcterms:created>
  <dcterms:modified xsi:type="dcterms:W3CDTF">2026-05-29T14:49:56Z</dcterms:modified>
  <cp:lastModifiedBy>LOFOLI BOKOTA, Felly</cp:lastModifiedBy>
  <cp:lastPrinted>2026-02-12T11:08:05Z</cp:lastPrinted>
</cp:coreProperties>
</file>